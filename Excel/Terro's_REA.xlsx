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Mouli\Downloads\"/>
    </mc:Choice>
  </mc:AlternateContent>
  <xr:revisionPtr revIDLastSave="0" documentId="13_ncr:1_{C7A034DE-5A30-410F-8452-4BD053BAD323}" xr6:coauthVersionLast="47" xr6:coauthVersionMax="47" xr10:uidLastSave="{00000000-0000-0000-0000-000000000000}"/>
  <bookViews>
    <workbookView xWindow="-120" yWindow="-120" windowWidth="20730" windowHeight="11310" firstSheet="6" activeTab="10" xr2:uid="{00000000-000D-0000-FFFF-FFFF00000000}"/>
  </bookViews>
  <sheets>
    <sheet name="what is covariance" sheetId="12" state="hidden" r:id="rId1"/>
    <sheet name="data" sheetId="1" r:id="rId2"/>
    <sheet name="regression data" sheetId="14" r:id="rId3"/>
    <sheet name="descriptive stats" sheetId="4" r:id="rId4"/>
    <sheet name="price range" sheetId="5" r:id="rId5"/>
    <sheet name="covariance" sheetId="11" r:id="rId6"/>
    <sheet name="correlation" sheetId="13" r:id="rId7"/>
    <sheet name="regressions Q.5" sheetId="15" r:id="rId8"/>
    <sheet name="Regression Q.6" sheetId="16" r:id="rId9"/>
    <sheet name="Regression Q.7" sheetId="17" r:id="rId10"/>
    <sheet name="Regression Q.8" sheetId="18" r:id="rId11"/>
    <sheet name="data Ref" sheetId="2" state="hidden" r:id="rId12"/>
  </sheets>
  <definedNames>
    <definedName name="_xlnm._FilterDatabase" localSheetId="1" hidden="1">data!$A$1:$M$507</definedName>
    <definedName name="_xlnm._FilterDatabase" localSheetId="9" hidden="1">'Regression Q.7'!$K$2:$N$2</definedName>
    <definedName name="_xlnm._FilterDatabase" localSheetId="10" hidden="1">'Regression Q.8'!$L$34:$M$34</definedName>
    <definedName name="_xlchart.v1.0" hidden="1">'price range'!$B$1</definedName>
    <definedName name="_xlchart.v1.1" hidden="1">'price range'!$B$2:$B$507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6" i="18" l="1"/>
  <c r="P17" i="18"/>
  <c r="P18" i="18"/>
  <c r="P19" i="18"/>
  <c r="P20" i="18"/>
  <c r="P21" i="18"/>
  <c r="P22" i="18"/>
  <c r="P23" i="18"/>
  <c r="P15" i="18"/>
  <c r="T5" i="16" l="1"/>
  <c r="T3" i="16"/>
  <c r="B3" i="14" l="1"/>
  <c r="B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58" i="14"/>
  <c r="B159" i="14"/>
  <c r="B160" i="14"/>
  <c r="B161" i="14"/>
  <c r="B162" i="14"/>
  <c r="B163" i="14"/>
  <c r="B164" i="14"/>
  <c r="B165" i="14"/>
  <c r="B166" i="14"/>
  <c r="B167" i="14"/>
  <c r="B168" i="14"/>
  <c r="B169" i="14"/>
  <c r="B170" i="14"/>
  <c r="B171" i="14"/>
  <c r="B172" i="14"/>
  <c r="B173" i="14"/>
  <c r="B174" i="14"/>
  <c r="B175" i="14"/>
  <c r="B176" i="14"/>
  <c r="B177" i="14"/>
  <c r="B178" i="14"/>
  <c r="B179" i="14"/>
  <c r="B180" i="14"/>
  <c r="B181" i="14"/>
  <c r="B182" i="14"/>
  <c r="B183" i="14"/>
  <c r="B184" i="14"/>
  <c r="B185" i="14"/>
  <c r="B186" i="14"/>
  <c r="B187" i="14"/>
  <c r="B188" i="14"/>
  <c r="B189" i="14"/>
  <c r="B190" i="14"/>
  <c r="B191" i="14"/>
  <c r="B192" i="14"/>
  <c r="B193" i="14"/>
  <c r="B194" i="14"/>
  <c r="B195" i="14"/>
  <c r="B196" i="14"/>
  <c r="B197" i="14"/>
  <c r="B198" i="14"/>
  <c r="B199" i="14"/>
  <c r="B200" i="14"/>
  <c r="B201" i="14"/>
  <c r="B202" i="14"/>
  <c r="B203" i="14"/>
  <c r="B204" i="14"/>
  <c r="B205" i="14"/>
  <c r="B206" i="14"/>
  <c r="B207" i="14"/>
  <c r="B208" i="14"/>
  <c r="B209" i="14"/>
  <c r="B210" i="14"/>
  <c r="B211" i="14"/>
  <c r="B212" i="14"/>
  <c r="B213" i="14"/>
  <c r="B214" i="14"/>
  <c r="B215" i="14"/>
  <c r="B216" i="14"/>
  <c r="B217" i="14"/>
  <c r="B218" i="14"/>
  <c r="B219" i="14"/>
  <c r="B220" i="14"/>
  <c r="B221" i="14"/>
  <c r="B222" i="14"/>
  <c r="B223" i="14"/>
  <c r="B224" i="14"/>
  <c r="B225" i="14"/>
  <c r="B226" i="14"/>
  <c r="B227" i="14"/>
  <c r="B228" i="14"/>
  <c r="B229" i="14"/>
  <c r="B230" i="14"/>
  <c r="B231" i="14"/>
  <c r="B232" i="14"/>
  <c r="B233" i="14"/>
  <c r="B234" i="14"/>
  <c r="B235" i="14"/>
  <c r="B236" i="14"/>
  <c r="B237" i="14"/>
  <c r="B238" i="14"/>
  <c r="B239" i="14"/>
  <c r="B240" i="14"/>
  <c r="B241" i="14"/>
  <c r="B242" i="14"/>
  <c r="B243" i="14"/>
  <c r="B244" i="14"/>
  <c r="B245" i="14"/>
  <c r="B246" i="14"/>
  <c r="B247" i="14"/>
  <c r="B248" i="14"/>
  <c r="B249" i="14"/>
  <c r="B250" i="14"/>
  <c r="B251" i="14"/>
  <c r="B252" i="14"/>
  <c r="B253" i="14"/>
  <c r="B254" i="14"/>
  <c r="B255" i="14"/>
  <c r="B256" i="14"/>
  <c r="B257" i="14"/>
  <c r="B258" i="14"/>
  <c r="B259" i="14"/>
  <c r="B260" i="14"/>
  <c r="B261" i="14"/>
  <c r="B262" i="14"/>
  <c r="B263" i="14"/>
  <c r="B264" i="14"/>
  <c r="B265" i="14"/>
  <c r="B266" i="14"/>
  <c r="B267" i="14"/>
  <c r="B268" i="14"/>
  <c r="B269" i="14"/>
  <c r="B270" i="14"/>
  <c r="B271" i="14"/>
  <c r="B272" i="14"/>
  <c r="B273" i="14"/>
  <c r="B274" i="14"/>
  <c r="B275" i="14"/>
  <c r="B276" i="14"/>
  <c r="B277" i="14"/>
  <c r="B278" i="14"/>
  <c r="B279" i="14"/>
  <c r="B280" i="14"/>
  <c r="B281" i="14"/>
  <c r="B282" i="14"/>
  <c r="B283" i="14"/>
  <c r="B284" i="14"/>
  <c r="B285" i="14"/>
  <c r="B286" i="14"/>
  <c r="B287" i="14"/>
  <c r="B288" i="14"/>
  <c r="B289" i="14"/>
  <c r="B290" i="14"/>
  <c r="B291" i="14"/>
  <c r="B292" i="14"/>
  <c r="B293" i="14"/>
  <c r="B294" i="14"/>
  <c r="B295" i="14"/>
  <c r="B296" i="14"/>
  <c r="B297" i="14"/>
  <c r="B298" i="14"/>
  <c r="B299" i="14"/>
  <c r="B300" i="14"/>
  <c r="B301" i="14"/>
  <c r="B302" i="14"/>
  <c r="B303" i="14"/>
  <c r="B304" i="14"/>
  <c r="B305" i="14"/>
  <c r="B306" i="14"/>
  <c r="B307" i="14"/>
  <c r="B308" i="14"/>
  <c r="B309" i="14"/>
  <c r="B310" i="14"/>
  <c r="B311" i="14"/>
  <c r="B312" i="14"/>
  <c r="B313" i="14"/>
  <c r="B314" i="14"/>
  <c r="B315" i="14"/>
  <c r="B316" i="14"/>
  <c r="B317" i="14"/>
  <c r="B318" i="14"/>
  <c r="B319" i="14"/>
  <c r="B320" i="14"/>
  <c r="B321" i="14"/>
  <c r="B322" i="14"/>
  <c r="B323" i="14"/>
  <c r="B324" i="14"/>
  <c r="B325" i="14"/>
  <c r="B326" i="14"/>
  <c r="B327" i="14"/>
  <c r="B328" i="14"/>
  <c r="B329" i="14"/>
  <c r="B330" i="14"/>
  <c r="B331" i="14"/>
  <c r="B332" i="14"/>
  <c r="B333" i="14"/>
  <c r="B334" i="14"/>
  <c r="B335" i="14"/>
  <c r="B336" i="14"/>
  <c r="B337" i="14"/>
  <c r="B338" i="14"/>
  <c r="B339" i="14"/>
  <c r="B340" i="14"/>
  <c r="B341" i="14"/>
  <c r="B342" i="14"/>
  <c r="B343" i="14"/>
  <c r="B344" i="14"/>
  <c r="B345" i="14"/>
  <c r="B346" i="14"/>
  <c r="B347" i="14"/>
  <c r="B348" i="14"/>
  <c r="B349" i="14"/>
  <c r="B350" i="14"/>
  <c r="B351" i="14"/>
  <c r="B352" i="14"/>
  <c r="B353" i="14"/>
  <c r="B354" i="14"/>
  <c r="B355" i="14"/>
  <c r="B356" i="14"/>
  <c r="B357" i="14"/>
  <c r="B358" i="14"/>
  <c r="B359" i="14"/>
  <c r="B360" i="14"/>
  <c r="B361" i="14"/>
  <c r="B362" i="14"/>
  <c r="B363" i="14"/>
  <c r="B364" i="14"/>
  <c r="B365" i="14"/>
  <c r="B366" i="14"/>
  <c r="B367" i="14"/>
  <c r="B368" i="14"/>
  <c r="B369" i="14"/>
  <c r="B370" i="14"/>
  <c r="B371" i="14"/>
  <c r="B372" i="14"/>
  <c r="B373" i="14"/>
  <c r="B374" i="14"/>
  <c r="B375" i="14"/>
  <c r="B376" i="14"/>
  <c r="B377" i="14"/>
  <c r="B378" i="14"/>
  <c r="B379" i="14"/>
  <c r="B380" i="14"/>
  <c r="B381" i="14"/>
  <c r="B382" i="14"/>
  <c r="B383" i="14"/>
  <c r="B384" i="14"/>
  <c r="B385" i="14"/>
  <c r="B386" i="14"/>
  <c r="B387" i="14"/>
  <c r="B388" i="14"/>
  <c r="B389" i="14"/>
  <c r="B390" i="14"/>
  <c r="B391" i="14"/>
  <c r="B392" i="14"/>
  <c r="B393" i="14"/>
  <c r="B394" i="14"/>
  <c r="B395" i="14"/>
  <c r="B396" i="14"/>
  <c r="B397" i="14"/>
  <c r="B398" i="14"/>
  <c r="B399" i="14"/>
  <c r="B400" i="14"/>
  <c r="B401" i="14"/>
  <c r="B402" i="14"/>
  <c r="B403" i="14"/>
  <c r="B404" i="14"/>
  <c r="B405" i="14"/>
  <c r="B406" i="14"/>
  <c r="B407" i="14"/>
  <c r="B408" i="14"/>
  <c r="B409" i="14"/>
  <c r="B410" i="14"/>
  <c r="B411" i="14"/>
  <c r="B412" i="14"/>
  <c r="B413" i="14"/>
  <c r="B414" i="14"/>
  <c r="B415" i="14"/>
  <c r="B416" i="14"/>
  <c r="B417" i="14"/>
  <c r="B418" i="14"/>
  <c r="B419" i="14"/>
  <c r="B420" i="14"/>
  <c r="B421" i="14"/>
  <c r="B422" i="14"/>
  <c r="B423" i="14"/>
  <c r="B424" i="14"/>
  <c r="B425" i="14"/>
  <c r="B426" i="14"/>
  <c r="B427" i="14"/>
  <c r="B428" i="14"/>
  <c r="B429" i="14"/>
  <c r="B430" i="14"/>
  <c r="B431" i="14"/>
  <c r="B432" i="14"/>
  <c r="B433" i="14"/>
  <c r="B434" i="14"/>
  <c r="B435" i="14"/>
  <c r="B436" i="14"/>
  <c r="B437" i="14"/>
  <c r="B438" i="14"/>
  <c r="B439" i="14"/>
  <c r="B440" i="14"/>
  <c r="B441" i="14"/>
  <c r="B442" i="14"/>
  <c r="B443" i="14"/>
  <c r="B444" i="14"/>
  <c r="B445" i="14"/>
  <c r="B446" i="14"/>
  <c r="B447" i="14"/>
  <c r="B448" i="14"/>
  <c r="B449" i="14"/>
  <c r="B450" i="14"/>
  <c r="B451" i="14"/>
  <c r="B452" i="14"/>
  <c r="B453" i="14"/>
  <c r="B454" i="14"/>
  <c r="B455" i="14"/>
  <c r="B456" i="14"/>
  <c r="B457" i="14"/>
  <c r="B458" i="14"/>
  <c r="B459" i="14"/>
  <c r="B460" i="14"/>
  <c r="B461" i="14"/>
  <c r="B462" i="14"/>
  <c r="B463" i="14"/>
  <c r="B464" i="14"/>
  <c r="B465" i="14"/>
  <c r="B466" i="14"/>
  <c r="B467" i="14"/>
  <c r="B468" i="14"/>
  <c r="B469" i="14"/>
  <c r="B470" i="14"/>
  <c r="B471" i="14"/>
  <c r="B472" i="14"/>
  <c r="B473" i="14"/>
  <c r="B474" i="14"/>
  <c r="B475" i="14"/>
  <c r="B476" i="14"/>
  <c r="B477" i="14"/>
  <c r="B478" i="14"/>
  <c r="B479" i="14"/>
  <c r="B480" i="14"/>
  <c r="B481" i="14"/>
  <c r="B482" i="14"/>
  <c r="B483" i="14"/>
  <c r="B484" i="14"/>
  <c r="B485" i="14"/>
  <c r="B486" i="14"/>
  <c r="B487" i="14"/>
  <c r="B488" i="14"/>
  <c r="B489" i="14"/>
  <c r="B490" i="14"/>
  <c r="B491" i="14"/>
  <c r="B492" i="14"/>
  <c r="B493" i="14"/>
  <c r="B494" i="14"/>
  <c r="B495" i="14"/>
  <c r="B496" i="14"/>
  <c r="B497" i="14"/>
  <c r="B498" i="14"/>
  <c r="B499" i="14"/>
  <c r="B500" i="14"/>
  <c r="B501" i="14"/>
  <c r="B502" i="14"/>
  <c r="B503" i="14"/>
  <c r="B504" i="14"/>
  <c r="B505" i="14"/>
  <c r="B506" i="14"/>
  <c r="B507" i="14"/>
  <c r="B2" i="14"/>
  <c r="B3" i="5" l="1"/>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2" i="5"/>
  <c r="F6" i="12"/>
  <c r="E5" i="12"/>
  <c r="D4" i="12"/>
  <c r="C3" i="12"/>
  <c r="B2" i="12"/>
  <c r="K11" i="11"/>
  <c r="J10" i="11"/>
  <c r="I9" i="11"/>
  <c r="H8" i="11"/>
  <c r="G7" i="11"/>
  <c r="F6" i="11"/>
  <c r="E5" i="11"/>
  <c r="D4" i="11"/>
  <c r="C3" i="11"/>
  <c r="B2" i="11"/>
  <c r="L505" i="1"/>
</calcChain>
</file>

<file path=xl/sharedStrings.xml><?xml version="1.0" encoding="utf-8"?>
<sst xmlns="http://schemas.openxmlformats.org/spreadsheetml/2006/main" count="638" uniqueCount="245">
  <si>
    <t>NOX</t>
  </si>
  <si>
    <t>PTRATIO</t>
  </si>
  <si>
    <t>LSTAT</t>
  </si>
  <si>
    <t>CRIME_RATE</t>
  </si>
  <si>
    <t>AVG_ROOM</t>
  </si>
  <si>
    <t>INDUSTRY</t>
  </si>
  <si>
    <t>AGE %(&lt;1940)</t>
  </si>
  <si>
    <t>DISTANCE FROM HW (MILES)</t>
  </si>
  <si>
    <t>TAX /$10,000</t>
  </si>
  <si>
    <t>AVG_PRICE IN K</t>
  </si>
  <si>
    <t xml:space="preserve"> </t>
  </si>
  <si>
    <t>Understanding</t>
  </si>
  <si>
    <t>Lstat</t>
  </si>
  <si>
    <t xml:space="preserve"> % of people in that area are poor and less educational qualities.ex:5 out of 100 people live there are lower status people</t>
  </si>
  <si>
    <t>Avg price</t>
  </si>
  <si>
    <t>avg price of houses in 1000k</t>
  </si>
  <si>
    <t>Pt ratio</t>
  </si>
  <si>
    <t>No.of students per teacher</t>
  </si>
  <si>
    <t>age</t>
  </si>
  <si>
    <t>Surity of houses that was built before 1940</t>
  </si>
  <si>
    <t xml:space="preserve">industry </t>
  </si>
  <si>
    <t>2.3% of land in that area owned by big factories, warehouses,tech parks . Rather than clothing,groceries,restraunt shops</t>
  </si>
  <si>
    <t>nox</t>
  </si>
  <si>
    <t>air pollution in area caused by factories &amp;vehicles</t>
  </si>
  <si>
    <t>%of old houses (&lt;1940) in that area</t>
  </si>
  <si>
    <t>NOX (ppm)</t>
  </si>
  <si>
    <t>Mean</t>
  </si>
  <si>
    <t>Standard Error</t>
  </si>
  <si>
    <t>Median</t>
  </si>
  <si>
    <t>Mode</t>
  </si>
  <si>
    <t>Standard Deviation</t>
  </si>
  <si>
    <t>Sample Variance</t>
  </si>
  <si>
    <t>Kurtosis</t>
  </si>
  <si>
    <t>Skewness</t>
  </si>
  <si>
    <t>Range</t>
  </si>
  <si>
    <t>Minimum</t>
  </si>
  <si>
    <t>Maximum</t>
  </si>
  <si>
    <t>Sum</t>
  </si>
  <si>
    <t>Count</t>
  </si>
  <si>
    <t>Confidence Level(99.0%)</t>
  </si>
  <si>
    <t>Based on the stats of crime rate we can conclude the selected area wont cause any sesrious trouble for the property owners .because the records shows us most repeated rate is 3.43 which is very close to the aaverage rate of 4.86 .</t>
  </si>
  <si>
    <t>these stats shows us about 68% and above properties are built before 1940s . So the buyer can absolutely experience traditional lifestyles as well as classical art works and culture</t>
  </si>
  <si>
    <t>when we think about big factories and tech buildings, it is shown that only 11.1 % of the land were occupied by them on average . But with 18.1% of repeated value we can assure there must be plenty of job offers around here as well.so the buyer can have two benefit in one shot.</t>
  </si>
  <si>
    <t>Nitric oxide consideration matters most when we planned to move in sub_urbs area, we  got 0.538 PPM on repeated value and 0.554 ppm as average . So compared to urban areas its far away from them. Hence we ensure each property will give you a fresh ,natural air to get refreshed everytime.</t>
  </si>
  <si>
    <t>A second thing to consider on moving to natural life was how we keep ourselves away from noisy highways, busy commercial areas, bustling streets,deafening horn sounds. These plot areas are 9.45miles far from highways on average.</t>
  </si>
  <si>
    <t>Absolutely paying taxes is pet peeve for everyone , but not here. The tax rate per $10,000 here is $408 which is comparitively lower than any other hotspot areas. Not $1000, Not $900 , only $711 is our highest tax rate here.</t>
  </si>
  <si>
    <t xml:space="preserve">As a parent, buyers don’t want to rumbling their mind with education for their child. here these area have 20.2 students per teacher ratio .If we talk about average it is 18.455. </t>
  </si>
  <si>
    <t>Mean value of 6.28 shows us that every property would have 6 rooms which engage there is plenty of spaces in each property .</t>
  </si>
  <si>
    <t xml:space="preserve">if we think about neighbourhood here we </t>
  </si>
  <si>
    <t xml:space="preserve">Here the price range offers a buyers to select between vairous price category according to their budget . This are have as low as $5000 property and also $50,000 value property. </t>
  </si>
  <si>
    <t>Observation</t>
  </si>
  <si>
    <t>Based on the histogram ,329 properties are values between $13,000 and $25,000 out of 506 property totally. This conveys strongly that thers is wide variety of options to choose if buyers were budget concious.</t>
  </si>
  <si>
    <t>DISTANCE FROM HighWay (MILES)</t>
  </si>
  <si>
    <t>note-  rendu same column intersect agara place ku "symmetrical values " nu name , adhuku aprm vara vendiya covariance values ellame keela likewise repeat aagu
so that paaka clumsy ah irukum nu adhu empty cell ah varum . Ippo crime rate la industry covariance thedradhu onnu dha , industry la crime rate thedradhu onnu dha. )</t>
  </si>
  <si>
    <t>Var 1</t>
  </si>
  <si>
    <t>Var 2</t>
  </si>
  <si>
    <t>Var 3</t>
  </si>
  <si>
    <t>Var 4</t>
  </si>
  <si>
    <t>Var 5</t>
  </si>
  <si>
    <t>Var(V1)</t>
  </si>
  <si>
    <t>Cov(V1,V2)</t>
  </si>
  <si>
    <t>Cov(V1,V3)</t>
  </si>
  <si>
    <t>Cov(V1,V4)</t>
  </si>
  <si>
    <t>Cov(V1,V5)</t>
  </si>
  <si>
    <t>Cov(V2,V1)</t>
  </si>
  <si>
    <t>Var(V2)</t>
  </si>
  <si>
    <t>Cov(V2,V3)</t>
  </si>
  <si>
    <t>Cov(V2,V4)</t>
  </si>
  <si>
    <t>Cov(V2,V5)</t>
  </si>
  <si>
    <t>Cov(V3,V1)</t>
  </si>
  <si>
    <t>Cov(V3,V2)</t>
  </si>
  <si>
    <t>Var(V3)</t>
  </si>
  <si>
    <t>Cov(V3,V4)</t>
  </si>
  <si>
    <t>Cov(V3,V5)</t>
  </si>
  <si>
    <t>Cov(V4,V1)</t>
  </si>
  <si>
    <t>Cov(V4,V2)</t>
  </si>
  <si>
    <t>Cov(V4,V3)</t>
  </si>
  <si>
    <t>Var(V4)</t>
  </si>
  <si>
    <t>Cov(V4,V5)</t>
  </si>
  <si>
    <t>Cov(V5,V1)</t>
  </si>
  <si>
    <t>Cov(V5,V2)</t>
  </si>
  <si>
    <t>Cov(V5,V3)</t>
  </si>
  <si>
    <t>Cov(V5,V4)</t>
  </si>
  <si>
    <t>Var(V5)</t>
  </si>
  <si>
    <t>Notice that Cov(V1,V2) is the same as Cov(V2,V1), hence the symmetry.</t>
  </si>
  <si>
    <r>
      <t>Positive Covariance:</t>
    </r>
    <r>
      <rPr>
        <sz val="9"/>
        <color rgb="FF222222"/>
        <rFont val="Arial"/>
        <family val="2"/>
      </rPr>
      <t> If the covariance is positive, it means that as one variable increases, the other variable tends to increase as well.</t>
    </r>
  </si>
  <si>
    <r>
      <t>Negative Covariance:</t>
    </r>
    <r>
      <rPr>
        <sz val="9"/>
        <color rgb="FF222222"/>
        <rFont val="Arial"/>
        <family val="2"/>
      </rPr>
      <t> If the covariance is negative, it means that as one variable increases, the other variable tends to decrease.</t>
    </r>
  </si>
  <si>
    <r>
      <t>Near Zero Covariance:</t>
    </r>
    <r>
      <rPr>
        <sz val="9"/>
        <color rgb="FF222222"/>
        <rFont val="Arial"/>
        <family val="2"/>
      </rPr>
      <t> If the covariance is close to zero, it means there's little to no linear relationship between the two variables. They tend to vary independently.</t>
    </r>
  </si>
  <si>
    <t>This comparison is fundamental in:</t>
  </si>
  <si>
    <r>
      <t>Understanding relationships:</t>
    </r>
    <r>
      <rPr>
        <sz val="10"/>
        <color rgb="FF222222"/>
        <rFont val="Arial"/>
        <family val="2"/>
      </rPr>
      <t> Identifying which variables tend to increase or decrease together.</t>
    </r>
  </si>
  <si>
    <r>
      <t>Feature selection in machine learning:</t>
    </r>
    <r>
      <rPr>
        <sz val="10"/>
        <color rgb="FF222222"/>
        <rFont val="Arial"/>
        <family val="2"/>
      </rPr>
      <t> Variables with very low covariance might be less useful in predicting each other.</t>
    </r>
  </si>
  <si>
    <r>
      <t>Econometrics and financial modeling:</t>
    </r>
    <r>
      <rPr>
        <sz val="10"/>
        <color rgb="FF222222"/>
        <rFont val="Arial"/>
        <family val="2"/>
      </rPr>
      <t> Understanding how economic indicators or asset prices move in relation to each other.</t>
    </r>
  </si>
  <si>
    <r>
      <t>Risk management:</t>
    </r>
    <r>
      <rPr>
        <sz val="10"/>
        <color rgb="FF222222"/>
        <rFont val="Arial"/>
        <family val="2"/>
      </rPr>
      <t> Assessing how different assets in a portfolio move together can help in diversification.</t>
    </r>
  </si>
  <si>
    <t>Therefore, to avoid redundancy and make the table less cluttered, many software programs (and often statisticians presenting these tables) will only display either the upper triangular portion or the lower triangular portion of the matrix (excluding the diagonal, which represents variances, although sometimes included).</t>
  </si>
  <si>
    <t>observation</t>
  </si>
  <si>
    <t>If the covariance is positive, it means that as one variable increases, the other variable tends to increase as well.</t>
  </si>
  <si>
    <t>If the covariance is negative, it means that as one variable increases, the other variable tends to decreases.</t>
  </si>
  <si>
    <t>Age  vs Avg_price</t>
  </si>
  <si>
    <t>The covariance of these two variable is 1.156155064 ,a positive value . So if age decreases the price of the property increases as well.</t>
  </si>
  <si>
    <t>age vs avg_room</t>
  </si>
  <si>
    <t>Here -0.04742538 is the variance ,a negative value . If the age increases the tax rate tend to decrease and vice versa.</t>
  </si>
  <si>
    <t>Nox Vs Industry</t>
  </si>
  <si>
    <t xml:space="preserve">0.605873942582293 is the covariance of these two variables. This positive value indicates if the industry area gets increased the quality of the air gets decreased </t>
  </si>
  <si>
    <t>Tax vs distance from Highway</t>
  </si>
  <si>
    <t>1333.11674139574 is positive value implies that if the property is far from the highway in the sense the tax rate will also increase</t>
  </si>
  <si>
    <t>Lstat vs avg_price</t>
  </si>
  <si>
    <t>-48.3517921932853 is a negative value , if the low status population increases the average price of the property tends to decreases</t>
  </si>
  <si>
    <t>Small magnitude</t>
  </si>
  <si>
    <t>Strong magnitude</t>
  </si>
  <si>
    <t>Moderate magnitude</t>
  </si>
  <si>
    <t>The digit count before the (.) indicates how strong the magnitude , which is how strongly the two variables moves in same directions either positive or negative</t>
  </si>
  <si>
    <t xml:space="preserve">AVG_PRICE </t>
  </si>
  <si>
    <t>DISTANCE FROM Highway (MILES)</t>
  </si>
  <si>
    <t>Top 3 postive correlated pairs</t>
  </si>
  <si>
    <t>Distance from highway Vs Tax rate per $10,000</t>
  </si>
  <si>
    <t>Nox Vs Age %</t>
  </si>
  <si>
    <t>This suggests that as the distance from highways increases, property taxes tend to increase.</t>
  </si>
  <si>
    <t>This indicates a strong tendency for areas with more industrial land to have higher levels of nitrogen oxide pollution.</t>
  </si>
  <si>
    <t>This suggests that older properties tend to be located in areas with higher nitrogen oxide pollution.</t>
  </si>
  <si>
    <t>Top 3 negative correlated pairs</t>
  </si>
  <si>
    <t>Lstat Vs Avg_price</t>
  </si>
  <si>
    <t>This indicates a strong tendency for areas with a higher percentage of lower-status population to have lower average house prices.</t>
  </si>
  <si>
    <t>This suggests that properties with a higher average number of rooms tend to be located in areas with a lower percentage of lower-status population</t>
  </si>
  <si>
    <t>Ptratio Vs Avg_price</t>
  </si>
  <si>
    <t>Lstat Vs Avg_room</t>
  </si>
  <si>
    <t>This indicates a moderate tendency for areas with a higher pupil-teacher ratio in schools to have lower average house prices.</t>
  </si>
  <si>
    <t>Avg_price</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</si>
  <si>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</si>
  <si>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</si>
  <si>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</si>
  <si>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</si>
  <si>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</si>
  <si>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</si>
  <si>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</si>
  <si>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</si>
  <si>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</si>
  <si>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</si>
  <si>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</si>
  <si>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</si>
  <si>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</si>
  <si>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</si>
  <si>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</si>
  <si>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</si>
  <si>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</si>
  <si>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</si>
  <si>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</si>
  <si>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</si>
  <si>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</si>
  <si>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</si>
  <si>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</si>
  <si>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</si>
  <si>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Predicted Avg_price</t>
  </si>
  <si>
    <t>Residuals</t>
  </si>
  <si>
    <t>A negative residual indicates Predicted avg price is higher than actual avg price in our data.</t>
  </si>
  <si>
    <t>A positive residual indicated Predicted avg price is lower than actual avg price in our data</t>
  </si>
  <si>
    <t>34553.84 is predicted avg price when lstat is 0</t>
  </si>
  <si>
    <t xml:space="preserve"> -950.049 is lstat coefficient , indicates avg price decreases for1% of lstat value increases</t>
  </si>
  <si>
    <t>54% of avg price can be explained based on lstat</t>
  </si>
  <si>
    <t>0.737662 indicates strong linear relationship between lstat and avg price.the closer it is to 1 or -1 ,the stronger the relation</t>
  </si>
  <si>
    <t xml:space="preserve">Average magnitude by which the observed AVG_PRICE values deviate from the AVG_PRICE values predicted </t>
  </si>
  <si>
    <t>Observed data points</t>
  </si>
  <si>
    <t xml:space="preserve">38.73341621 is a precision of lstat coefficient estimate.smaller standard error means a more precise estimate </t>
  </si>
  <si>
    <t xml:space="preserve"> - 24,5279 is test statistic for lstat coefficient.its absoute value is large,which suggest significance</t>
  </si>
  <si>
    <t xml:space="preserve">Answers </t>
  </si>
  <si>
    <t>Summary output in terms of variance explained, coefficient value, Intercept, and the Residual plot</t>
  </si>
  <si>
    <t>Variance</t>
  </si>
  <si>
    <t xml:space="preserve"> - Approximately 54.41% of variation in Avg_price can be explained by Lstat. This indicates lstat is a moderatly strong prediction factor for avg_price</t>
  </si>
  <si>
    <t>Coefficiant (Lstat)</t>
  </si>
  <si>
    <t xml:space="preserve"> - For every 1% increase of Lstat, the Avg_price is predicted to increase by approximately $950. A opposite relationship</t>
  </si>
  <si>
    <t xml:space="preserve"> - when Lstat is 0%  the Avg_price predicted would approximately be 34553.84. </t>
  </si>
  <si>
    <t>Q.1</t>
  </si>
  <si>
    <t>Residual Plot</t>
  </si>
  <si>
    <t xml:space="preserve"> - This shows a plenty of scatter points randomly around a zero,which confirms a strong linear relationship</t>
  </si>
  <si>
    <t>Q.2</t>
  </si>
  <si>
    <t>Is LSTAT variable significant for the analysis based on your model?</t>
  </si>
  <si>
    <t xml:space="preserve"> If P-value &lt; α, the result is statistically significant. (Alpha=0.05).
If P-value ≥α, the result is not statistically significant.
P-values are your statistical gatekeepers. They tell you if the relationship you observe in your data is likely a genuine one, or just a fluke.</t>
  </si>
  <si>
    <t>Yeah, the Lstat variable is highly significant for the analysis. This is indicated by its p-value of 5.08e-88,[0.00000000000000000000000000000000000000000000000000000000000000000000000000000508)Since this P-value is much, much smaller than 0.05, this means that the LSTAT variable is statistically significant in explaining Avg_price. There is a real, non-zero relationship between LSTAT and Avg_price]</t>
  </si>
  <si>
    <t>This p value is extremely smaller than 0.05. so both lstat and avg_room is Highly Statistically Significant.</t>
  </si>
  <si>
    <t>Predicted AVG_PRICE = -1358.27 + (-642.358 * LSTAT) + (5094.788 * AVG_ROOM)</t>
  </si>
  <si>
    <t>Predicted avg_price</t>
  </si>
  <si>
    <t>company Quoted</t>
  </si>
  <si>
    <t>So based on the prediction , the company is undercharging by $4292.329</t>
  </si>
  <si>
    <t>Here we can see that the current adjusted R value is higher than the previous table. So the performance of the current variables is better than the previous one.</t>
  </si>
  <si>
    <t xml:space="preserve">Write the Regression equation. If a new house in this locality has 7 rooms (on an average) and has a value of 20 for L-STAT, then what will be the value of AVG_PRICE? How does it compare to the company quoting a value of 30000 USD for this locality? Is the company Overcharging/ Undercharging? </t>
  </si>
  <si>
    <t>Is the performance of this model better than the previous model you built in Question 5? Compare in terms of adjusted R-square and explain</t>
  </si>
  <si>
    <t>Previous(LSTAT only): Adjusted R-square = 0.543241826 ( 54.32%)</t>
  </si>
  <si>
    <t>Current (LSTAT + AVG_ROOM): Adjusted R-square = 0.637124 (63.71%)</t>
  </si>
  <si>
    <t>There is increase of  9.39 percentage  indicates ,By adding another avg_room as independent variable ,additional 9.39% can be explained</t>
  </si>
  <si>
    <t>Difference</t>
  </si>
  <si>
    <t>This P-value is extremely small (virtually 0), much less than 0.05.all the included independent variables, is highly statistically significant. This means that at least one of the independent variables is a significant predictor of Avg_price.</t>
  </si>
  <si>
    <t>Significant relation of each variable with Avg_price</t>
  </si>
  <si>
    <t xml:space="preserve">Intercept </t>
  </si>
  <si>
    <t xml:space="preserve">Variables </t>
  </si>
  <si>
    <t>Coefficient</t>
  </si>
  <si>
    <t xml:space="preserve"> when all Independent variable is zero , the avg_price would be 29232.10991. the P-value is much smaller than 0.05. so the intercept is statistically significant.</t>
  </si>
  <si>
    <t>For every one-unit increase in CRIME_RATE, AVG_PRICE is predicted to increase by $51.59. P-value is 0.51095, which is greater than 0.05. Therefore, CRIME_RATE is not statistically significant.</t>
  </si>
  <si>
    <t>For every 1 percentage increase in the Age (&lt; 1940), AVG_PRICE is predicted to increase by $3277.04.because the historical value of the property.the P-value is less than 0.05 so it is statistically significant.</t>
  </si>
  <si>
    <t>For every one-unit increase in the industry area per town, Avg_price is predicted to increase by $130.44. the P-value is less than 0.05 so Industry variable is statistically significant.</t>
  </si>
  <si>
    <t>For every 1 ppm increase in nitric oxides concentration, Avg_price is predicted to decrease by $10321.16. This makes sense as higher pollution typically lowers property values.The Pvalue is also less than 0.05 which indicates it is statiscallu significant</t>
  </si>
  <si>
    <t>For every one-mile increase in distance , Avg_price is predicted to increase by $261.00. the Pvalue is less than 0.05 so it is statistically significant.</t>
  </si>
  <si>
    <t>For every $10,000 increase in property tax, Avg_price is predicted to decrease by $14.39, the Pvalue indicates this is statistically significant relationship.</t>
  </si>
  <si>
    <t>: For every one-unit increase in pupil-teacher ratio, Avg_price is predicted to decrease by $1074.54.This is a strong negative relationship. The schools might be located in a more population area . Which is more avg_price property area. The P value suggesting it is lower than 0.05 so it is statistically significant</t>
  </si>
  <si>
    <t>For every one average room, Avg_price is predicted to increase by $4125.13, this is strong positive relationship. The P value is less than 0.05  indicates statistically significant.</t>
  </si>
  <si>
    <t>For every 1 percentage increases in Lstat, Avg_price is predicted to decrease by $603.43. the P value is less than 0.05 indicates it is a statistically significant</t>
  </si>
  <si>
    <t>statistically significant variables</t>
  </si>
  <si>
    <t>statistically Not significant variables</t>
  </si>
  <si>
    <t>Crime _ Rate</t>
  </si>
  <si>
    <t>Age, Industry, Nox, Distance from Highway, Tax per $10,000, Ptratio, Avg_Room, Lstat.</t>
  </si>
  <si>
    <t>Q.1 - interpret output of this model</t>
  </si>
  <si>
    <t>A value close to 1 indicates a very strong positive linear relationship. Which is all independent variables are highly correlated with the average price.</t>
  </si>
  <si>
    <r>
      <t xml:space="preserve">Approximately </t>
    </r>
    <r>
      <rPr>
        <b/>
        <sz val="11"/>
        <color theme="1"/>
        <rFont val="Calibri"/>
        <family val="2"/>
        <scheme val="minor"/>
      </rPr>
      <t>69.36%</t>
    </r>
    <r>
      <rPr>
        <sz val="11"/>
        <color theme="1"/>
        <rFont val="Calibri"/>
        <family val="2"/>
        <scheme val="minor"/>
      </rPr>
      <t xml:space="preserve"> of the variability in </t>
    </r>
    <r>
      <rPr>
        <sz val="10"/>
        <color theme="1"/>
        <rFont val="Arial Unicode MS"/>
        <family val="2"/>
      </rPr>
      <t>Avg_Price</t>
    </r>
    <r>
      <rPr>
        <sz val="11"/>
        <color theme="1"/>
        <rFont val="Calibri"/>
        <family val="2"/>
        <scheme val="minor"/>
      </rPr>
      <t xml:space="preserve"> is explained by the 8 independent variables in this model</t>
    </r>
  </si>
  <si>
    <r>
      <t xml:space="preserve"> This is the R-squared value adjusted for the number of predictors.Approximately </t>
    </r>
    <r>
      <rPr>
        <b/>
        <sz val="11"/>
        <color theme="1"/>
        <rFont val="Calibri"/>
        <family val="2"/>
        <scheme val="minor"/>
      </rPr>
      <t>68.87%</t>
    </r>
    <r>
      <rPr>
        <sz val="11"/>
        <color theme="1"/>
        <rFont val="Calibri"/>
        <family val="2"/>
        <scheme val="minor"/>
      </rPr>
      <t xml:space="preserve"> of the variability in Avg_Price is explained,</t>
    </r>
  </si>
  <si>
    <r>
      <t xml:space="preserve">This is the typical difference (average error) between the </t>
    </r>
    <r>
      <rPr>
        <b/>
        <sz val="11"/>
        <color theme="1"/>
        <rFont val="Calibri"/>
        <family val="2"/>
        <scheme val="minor"/>
      </rPr>
      <t>actual</t>
    </r>
    <r>
      <rPr>
        <sz val="11"/>
        <color theme="1"/>
        <rFont val="Calibri"/>
        <family val="2"/>
        <scheme val="minor"/>
      </rPr>
      <t xml:space="preserve"> </t>
    </r>
    <r>
      <rPr>
        <sz val="10"/>
        <color theme="1"/>
        <rFont val="Arial Unicode MS"/>
        <family val="2"/>
      </rPr>
      <t>Avg_Price</t>
    </r>
    <r>
      <rPr>
        <sz val="11"/>
        <color theme="1"/>
        <rFont val="Calibri"/>
        <family val="2"/>
        <scheme val="minor"/>
      </rPr>
      <t xml:space="preserve"> values and the values </t>
    </r>
    <r>
      <rPr>
        <b/>
        <sz val="11"/>
        <color theme="1"/>
        <rFont val="Calibri"/>
        <family val="2"/>
        <scheme val="minor"/>
      </rPr>
      <t>predicted</t>
    </r>
    <r>
      <rPr>
        <sz val="11"/>
        <color theme="1"/>
        <rFont val="Calibri"/>
        <family val="2"/>
        <scheme val="minor"/>
      </rPr>
      <t xml:space="preserve"> by your model. Here the difference is $5131.591 is the difference between ttwo of them.</t>
    </r>
  </si>
  <si>
    <t>Number of observed data for this regression table by model.</t>
  </si>
  <si>
    <t>This is the P-value for the overall regression model.Here we can conclude overall independent variables are highly statistically significant for Avg_Price in terms of it is lower than the 0.05.</t>
  </si>
  <si>
    <r>
      <t xml:space="preserve">Intercept </t>
    </r>
    <r>
      <rPr>
        <sz val="11"/>
        <color theme="1"/>
        <rFont val="Calibri"/>
        <family val="2"/>
        <scheme val="minor"/>
      </rPr>
      <t xml:space="preserve"> </t>
    </r>
  </si>
  <si>
    <t>This is the predicted Avg_Price when all independent variables are zero. P-value 1.85E-09 is &lt; 0.05, so the intercept is statistically significant.</t>
  </si>
  <si>
    <t>Regression statistics</t>
  </si>
  <si>
    <t xml:space="preserve">Value </t>
  </si>
  <si>
    <t>Values</t>
  </si>
  <si>
    <t>For every 1 percentage  increase in this variable, Avg_Price increases by $3293.50</t>
  </si>
  <si>
    <t>For every one-unit increase in industrial proportion, Avg_Price increases by $130.71.</t>
  </si>
  <si>
    <t>For every 1 ppm increase in NOX, Avg_Price decreases by $10272.71</t>
  </si>
  <si>
    <t>For every one-mile increase in distance , Avg_Price increases by $261.51</t>
  </si>
  <si>
    <r>
      <t xml:space="preserve">For every $10,000 increase in property tax, </t>
    </r>
    <r>
      <rPr>
        <sz val="10"/>
        <color theme="1"/>
        <rFont val="Arial Unicode MS"/>
        <family val="2"/>
      </rPr>
      <t xml:space="preserve">Avg_Price </t>
    </r>
    <r>
      <rPr>
        <sz val="11"/>
        <color theme="1"/>
        <rFont val="Calibri"/>
        <family val="2"/>
        <scheme val="minor"/>
      </rPr>
      <t>decreases by $14.45</t>
    </r>
  </si>
  <si>
    <t xml:space="preserve"> For every one-unit increase in pupil-teacher ratio, Avg_Price decreases by $1071.70</t>
  </si>
  <si>
    <t>For every one additional average room, Average Price  increases by $4125.47</t>
  </si>
  <si>
    <t>For every 1 percentage point increase in LSTAT, Avg_price decreases by $605.16.</t>
  </si>
  <si>
    <t xml:space="preserve"> Variables</t>
  </si>
  <si>
    <t>Are the Variable statistically significant?</t>
  </si>
  <si>
    <t xml:space="preserve">Q.2 -Compare the adjusted R-square value of this model with the model in the previous question, which model performs better according to the value of adjusted R-square? </t>
  </si>
  <si>
    <t xml:space="preserve">Previous Model </t>
  </si>
  <si>
    <t>Current Model</t>
  </si>
  <si>
    <t>Aprx -68.83%</t>
  </si>
  <si>
    <t>Aprx-68.87%</t>
  </si>
  <si>
    <t>The current model performs slightly better than the previous model .This confirms , Removing Crime_Rate which is not statistically significant actually make sense and improves models explanatory efficency slightly.</t>
  </si>
  <si>
    <t xml:space="preserve">Q.3 - Sort the values of the Coefficients in ascending order. What will happen to the average price if the value of NOX is more in a locality in this town? </t>
  </si>
  <si>
    <r>
      <t xml:space="preserve">The coefficient for </t>
    </r>
    <r>
      <rPr>
        <sz val="10"/>
        <color theme="1"/>
        <rFont val="Arial Unicode MS"/>
        <family val="2"/>
      </rPr>
      <t>NOX (ppm)</t>
    </r>
    <r>
      <rPr>
        <sz val="11"/>
        <color theme="1"/>
        <rFont val="Calibri"/>
        <family val="2"/>
        <scheme val="minor"/>
      </rPr>
      <t xml:space="preserve"> is </t>
    </r>
    <r>
      <rPr>
        <b/>
        <sz val="11"/>
        <color theme="1"/>
        <rFont val="Calibri"/>
        <family val="2"/>
        <scheme val="minor"/>
      </rPr>
      <t>-10272.71</t>
    </r>
    <r>
      <rPr>
        <sz val="11"/>
        <color theme="1"/>
        <rFont val="Calibri"/>
        <family val="2"/>
        <scheme val="minor"/>
      </rPr>
      <t xml:space="preserve">. This is the </t>
    </r>
    <r>
      <rPr>
        <b/>
        <sz val="11"/>
        <color theme="1"/>
        <rFont val="Calibri"/>
        <family val="2"/>
        <scheme val="minor"/>
      </rPr>
      <t>most negative</t>
    </r>
    <r>
      <rPr>
        <sz val="11"/>
        <color theme="1"/>
        <rFont val="Calibri"/>
        <family val="2"/>
        <scheme val="minor"/>
      </rPr>
      <t xml:space="preserve"> coefficient among all the variables.For every 1 ppm increase in NOX, the Avg_Price is expected to decrease by approximately $10,272.71. which is Strong Negative factor.</t>
    </r>
  </si>
  <si>
    <t xml:space="preserve">Q.4 - Write the regression equation from this model. </t>
  </si>
  <si>
    <t>Predicted AVG_PRICE = 29428.473 + (3293.496 * AGE % (&lt;1940)) + (130.71001 * INDUSTRY) - (10272.71 * NOX (ppm)) + (261.50642 * DISTANCE FROM HW (MILES)) - (14.45235 * TAX/$10,000) - (1071.702 * PTRATIO) + (4125.469 * AVG_ROOM) - (605.1593 * LSTAT)</t>
  </si>
  <si>
    <t>Y^=β0​^​+β1​^​X1​+β2​^​X2​+β3​^​X3​+⋯</t>
  </si>
  <si>
    <t>Y= Dependent variable</t>
  </si>
  <si>
    <t>β0 = Intercept</t>
  </si>
  <si>
    <t>X1 = Independent variable</t>
  </si>
  <si>
    <t>β1= Estimated Coefficient of independent 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</si>
</sst>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
    <numFmt numFmtId="167" formatCode="[$$-409]#,##0.0;[Red][$$-409]#,##0.0"/>
  </numFmts>
  <fonts count="16">
    <font>
      <sz val="11"/>
      <color theme="1"/>
      <name val="Calibri"/>
      <family val="2"/>
      <scheme val="minor"/>
    </font>
    <font>
      <sz val="11"/>
      <color theme="1"/>
      <name val="Calibri"/>
      <family val="2"/>
      <scheme val="minor"/>
    </font>
    <font>
      <b/>
      <sz val="11"/>
      <color theme="1"/>
      <name val="Calibri"/>
      <family val="2"/>
      <scheme val="minor"/>
    </font>
    <font>
      <b/>
      <i/>
      <sz val="11"/>
      <color theme="1"/>
      <name val="Calibri"/>
      <family val="2"/>
      <scheme val="minor"/>
    </font>
    <font>
      <i/>
      <sz val="11"/>
      <color theme="1"/>
      <name val="Calibri"/>
      <family val="2"/>
      <scheme val="minor"/>
    </font>
    <font>
      <b/>
      <sz val="10"/>
      <color rgb="FF222222"/>
      <name val="Arial"/>
      <family val="2"/>
    </font>
    <font>
      <sz val="10"/>
      <color theme="1"/>
      <name val="Calibri"/>
      <family val="2"/>
      <scheme val="minor"/>
    </font>
    <font>
      <sz val="10"/>
      <color rgb="FF222222"/>
      <name val="Arial"/>
      <family val="2"/>
    </font>
    <font>
      <b/>
      <sz val="9"/>
      <color rgb="FF222222"/>
      <name val="Arial"/>
      <family val="2"/>
    </font>
    <font>
      <sz val="9"/>
      <color theme="1"/>
      <name val="Calibri"/>
      <family val="2"/>
      <scheme val="minor"/>
    </font>
    <font>
      <sz val="9"/>
      <color rgb="FF222222"/>
      <name val="Arial"/>
      <family val="2"/>
    </font>
    <font>
      <b/>
      <sz val="10"/>
      <color theme="1"/>
      <name val="Calibri"/>
      <family val="2"/>
      <scheme val="minor"/>
    </font>
    <font>
      <sz val="11"/>
      <color rgb="FF222222"/>
      <name val="Calibri  "/>
    </font>
    <font>
      <sz val="11"/>
      <color theme="1" tint="4.9989318521683403E-2"/>
      <name val="Calibri"/>
      <family val="2"/>
      <scheme val="minor"/>
    </font>
    <font>
      <sz val="12"/>
      <color rgb="FF000000"/>
      <name val="Calibri"/>
      <family val="2"/>
      <scheme val="minor"/>
    </font>
    <font>
      <sz val="10"/>
      <color theme="1"/>
      <name val="Arial Unicode MS"/>
      <family val="2"/>
    </font>
  </fonts>
  <fills count="17">
    <fill>
      <patternFill patternType="none"/>
    </fill>
    <fill>
      <patternFill patternType="gray125"/>
    </fill>
    <fill>
      <patternFill patternType="solid">
        <fgColor theme="0"/>
        <bgColor indexed="64"/>
      </patternFill>
    </fill>
    <fill>
      <patternFill patternType="solid">
        <fgColor rgb="FF99CC00"/>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E4F353"/>
        <bgColor indexed="64"/>
      </patternFill>
    </fill>
    <fill>
      <patternFill patternType="solid">
        <fgColor rgb="FFFF000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1"/>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theme="2"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79">
    <xf numFmtId="0" fontId="0" fillId="0" borderId="0" xfId="0"/>
    <xf numFmtId="0" fontId="0" fillId="0" borderId="1" xfId="0" applyBorder="1"/>
    <xf numFmtId="0" fontId="2" fillId="3" borderId="1" xfId="0" applyFont="1" applyFill="1" applyBorder="1"/>
    <xf numFmtId="9" fontId="0" fillId="0" borderId="0" xfId="0" applyNumberFormat="1"/>
    <xf numFmtId="165" fontId="0" fillId="0" borderId="1" xfId="1" applyNumberFormat="1" applyFont="1" applyBorder="1"/>
    <xf numFmtId="165" fontId="0" fillId="0" borderId="1" xfId="0" applyNumberFormat="1" applyBorder="1"/>
    <xf numFmtId="164" fontId="0" fillId="0" borderId="1" xfId="0" applyNumberFormat="1" applyBorder="1"/>
    <xf numFmtId="165" fontId="0" fillId="2" borderId="1" xfId="0" applyNumberFormat="1" applyFill="1" applyBorder="1"/>
    <xf numFmtId="167" fontId="0" fillId="0" borderId="1" xfId="0" applyNumberFormat="1" applyBorder="1"/>
    <xf numFmtId="1" fontId="0" fillId="0" borderId="1" xfId="0" applyNumberFormat="1" applyBorder="1"/>
    <xf numFmtId="0" fontId="0" fillId="4" borderId="0" xfId="0" applyFill="1"/>
    <xf numFmtId="0" fontId="0" fillId="5" borderId="1" xfId="0" applyFill="1" applyBorder="1"/>
    <xf numFmtId="0" fontId="0" fillId="5" borderId="0" xfId="0" applyFill="1"/>
    <xf numFmtId="0" fontId="0" fillId="0" borderId="2" xfId="0" applyBorder="1"/>
    <xf numFmtId="0" fontId="2" fillId="4" borderId="0" xfId="0" applyFont="1" applyFill="1"/>
    <xf numFmtId="0" fontId="4" fillId="0" borderId="3" xfId="0" applyFont="1" applyBorder="1" applyAlignment="1">
      <alignment horizontal="center"/>
    </xf>
    <xf numFmtId="0" fontId="0" fillId="0" borderId="3" xfId="0" applyBorder="1" applyAlignment="1">
      <alignment horizontal="center"/>
    </xf>
    <xf numFmtId="0" fontId="0" fillId="0" borderId="1" xfId="0" applyBorder="1" applyAlignment="1">
      <alignment horizontal="center"/>
    </xf>
    <xf numFmtId="165" fontId="0" fillId="0" borderId="1" xfId="1" applyNumberFormat="1" applyFont="1" applyBorder="1" applyAlignment="1">
      <alignment horizontal="center"/>
    </xf>
    <xf numFmtId="164" fontId="0" fillId="0" borderId="1" xfId="0" applyNumberFormat="1" applyBorder="1" applyAlignment="1">
      <alignment horizontal="center"/>
    </xf>
    <xf numFmtId="165" fontId="0" fillId="2" borderId="1" xfId="0" applyNumberFormat="1" applyFill="1" applyBorder="1" applyAlignment="1">
      <alignment horizontal="center"/>
    </xf>
    <xf numFmtId="167" fontId="0" fillId="0" borderId="1" xfId="0" applyNumberFormat="1" applyBorder="1" applyAlignment="1">
      <alignment horizontal="center"/>
    </xf>
    <xf numFmtId="1" fontId="0" fillId="0" borderId="1" xfId="0" applyNumberFormat="1" applyBorder="1" applyAlignment="1">
      <alignment horizontal="center"/>
    </xf>
    <xf numFmtId="166" fontId="0" fillId="0" borderId="1" xfId="0" applyNumberFormat="1" applyBorder="1" applyAlignment="1">
      <alignment horizontal="center"/>
    </xf>
    <xf numFmtId="165" fontId="0" fillId="0" borderId="1" xfId="0" applyNumberFormat="1" applyBorder="1" applyAlignment="1">
      <alignment horizontal="center"/>
    </xf>
    <xf numFmtId="0" fontId="0" fillId="7" borderId="0" xfId="0" applyFill="1"/>
    <xf numFmtId="0" fontId="9" fillId="0" borderId="0" xfId="0" applyFont="1"/>
    <xf numFmtId="0" fontId="8" fillId="0" borderId="1" xfId="0" applyFont="1" applyBorder="1" applyAlignment="1">
      <alignment horizontal="center" vertical="center" wrapText="1"/>
    </xf>
    <xf numFmtId="0" fontId="9" fillId="0" borderId="1" xfId="0" applyFont="1" applyBorder="1"/>
    <xf numFmtId="0" fontId="8" fillId="0" borderId="1" xfId="0" applyFont="1" applyBorder="1" applyAlignment="1">
      <alignment vertical="center" wrapText="1"/>
    </xf>
    <xf numFmtId="0" fontId="10" fillId="0" borderId="1" xfId="0" applyFont="1" applyBorder="1" applyAlignment="1">
      <alignment vertical="center" wrapText="1"/>
    </xf>
    <xf numFmtId="0" fontId="10" fillId="0" borderId="0" xfId="0" applyFont="1" applyAlignment="1">
      <alignment vertical="center"/>
    </xf>
    <xf numFmtId="0" fontId="8" fillId="0" borderId="0" xfId="0" applyFont="1" applyAlignment="1">
      <alignment horizontal="left" vertical="center" indent="1"/>
    </xf>
    <xf numFmtId="0" fontId="7" fillId="0" borderId="0" xfId="0" applyFont="1" applyAlignment="1">
      <alignment vertical="center"/>
    </xf>
    <xf numFmtId="0" fontId="6" fillId="0" borderId="0" xfId="0" applyFont="1" applyAlignment="1">
      <alignment horizontal="left" vertical="center"/>
    </xf>
    <xf numFmtId="0" fontId="5" fillId="0" borderId="0" xfId="0" applyFont="1" applyAlignment="1">
      <alignment horizontal="left" vertical="center"/>
    </xf>
    <xf numFmtId="0" fontId="7" fillId="0" borderId="0" xfId="0" applyFont="1"/>
    <xf numFmtId="0" fontId="4" fillId="8" borderId="1" xfId="0" applyFont="1" applyFill="1" applyBorder="1" applyAlignment="1">
      <alignment horizontal="center"/>
    </xf>
    <xf numFmtId="0" fontId="11" fillId="8" borderId="1" xfId="0" applyFont="1" applyFill="1" applyBorder="1"/>
    <xf numFmtId="0" fontId="11" fillId="8" borderId="1" xfId="0" applyFont="1" applyFill="1" applyBorder="1" applyAlignment="1">
      <alignment horizontal="center" vertical="center"/>
    </xf>
    <xf numFmtId="0" fontId="12" fillId="0" borderId="0" xfId="0" applyFont="1" applyAlignment="1">
      <alignment horizontal="left" vertical="center" indent="1"/>
    </xf>
    <xf numFmtId="0" fontId="2" fillId="9" borderId="0" xfId="0" applyFont="1" applyFill="1"/>
    <xf numFmtId="1" fontId="0" fillId="0" borderId="0" xfId="0" applyNumberFormat="1"/>
    <xf numFmtId="0" fontId="2" fillId="10" borderId="0" xfId="0" applyFont="1" applyFill="1"/>
    <xf numFmtId="0" fontId="4" fillId="0" borderId="3" xfId="0" applyFont="1" applyBorder="1" applyAlignment="1">
      <alignment horizontal="centerContinuous"/>
    </xf>
    <xf numFmtId="0" fontId="0" fillId="11" borderId="0" xfId="0" applyFill="1"/>
    <xf numFmtId="0" fontId="3" fillId="12" borderId="3" xfId="0" applyFont="1" applyFill="1" applyBorder="1" applyAlignment="1">
      <alignment horizontal="center"/>
    </xf>
    <xf numFmtId="0" fontId="2" fillId="12" borderId="0" xfId="0" applyFont="1" applyFill="1"/>
    <xf numFmtId="0" fontId="2" fillId="12" borderId="2" xfId="0" applyFont="1" applyFill="1" applyBorder="1"/>
    <xf numFmtId="0" fontId="2" fillId="0" borderId="0" xfId="0" applyFont="1"/>
    <xf numFmtId="0" fontId="13" fillId="13" borderId="0" xfId="0" applyFont="1" applyFill="1"/>
    <xf numFmtId="0" fontId="0" fillId="13" borderId="0" xfId="0" applyFill="1"/>
    <xf numFmtId="0" fontId="2" fillId="0" borderId="0" xfId="0" applyFont="1" applyAlignment="1">
      <alignment horizontal="left" vertical="center" indent="1"/>
    </xf>
    <xf numFmtId="0" fontId="14" fillId="4" borderId="0" xfId="0" applyFont="1" applyFill="1"/>
    <xf numFmtId="0" fontId="4" fillId="0" borderId="0" xfId="0" applyFont="1" applyAlignment="1">
      <alignment horizontal="center"/>
    </xf>
    <xf numFmtId="0" fontId="0" fillId="12" borderId="1" xfId="0" applyFill="1" applyBorder="1"/>
    <xf numFmtId="0" fontId="3" fillId="6" borderId="1" xfId="0" applyFont="1" applyFill="1" applyBorder="1" applyAlignment="1">
      <alignment horizontal="center"/>
    </xf>
    <xf numFmtId="0" fontId="2" fillId="9" borderId="0" xfId="0" applyFont="1" applyFill="1"/>
    <xf numFmtId="0" fontId="0" fillId="0" borderId="0" xfId="0"/>
    <xf numFmtId="0" fontId="2" fillId="14" borderId="0" xfId="0" applyFont="1" applyFill="1"/>
    <xf numFmtId="0" fontId="0" fillId="12" borderId="1" xfId="0" applyFill="1" applyBorder="1"/>
    <xf numFmtId="0" fontId="0" fillId="0" borderId="0" xfId="0" applyFill="1" applyBorder="1" applyAlignment="1"/>
    <xf numFmtId="0" fontId="0" fillId="0" borderId="2" xfId="0" applyFill="1" applyBorder="1" applyAlignment="1"/>
    <xf numFmtId="0" fontId="4" fillId="0" borderId="3" xfId="0" applyFont="1" applyFill="1" applyBorder="1" applyAlignment="1">
      <alignment horizontal="center"/>
    </xf>
    <xf numFmtId="0" fontId="4" fillId="0" borderId="3" xfId="0" applyFont="1" applyFill="1" applyBorder="1" applyAlignment="1">
      <alignment horizontal="centerContinuous"/>
    </xf>
    <xf numFmtId="0" fontId="4" fillId="0" borderId="0" xfId="0" applyFont="1" applyFill="1" applyBorder="1" applyAlignment="1">
      <alignment horizontal="left"/>
    </xf>
    <xf numFmtId="0" fontId="0" fillId="0" borderId="1" xfId="0" applyFill="1" applyBorder="1" applyAlignment="1"/>
    <xf numFmtId="11" fontId="0" fillId="0" borderId="1" xfId="0" applyNumberFormat="1" applyBorder="1"/>
    <xf numFmtId="0" fontId="0" fillId="15" borderId="4" xfId="0" applyFill="1" applyBorder="1"/>
    <xf numFmtId="0" fontId="0" fillId="15" borderId="5" xfId="0" applyFill="1" applyBorder="1"/>
    <xf numFmtId="0" fontId="0" fillId="15" borderId="6" xfId="0" applyFill="1" applyBorder="1"/>
    <xf numFmtId="0" fontId="0" fillId="0" borderId="7" xfId="0" applyFont="1" applyBorder="1"/>
    <xf numFmtId="0" fontId="0" fillId="0" borderId="8" xfId="0" applyBorder="1"/>
    <xf numFmtId="0" fontId="0" fillId="0" borderId="7" xfId="0" applyFill="1" applyBorder="1" applyAlignment="1"/>
    <xf numFmtId="0" fontId="0" fillId="0" borderId="9" xfId="0" applyFill="1" applyBorder="1" applyAlignment="1"/>
    <xf numFmtId="0" fontId="0" fillId="0" borderId="10" xfId="0" applyFill="1" applyBorder="1" applyAlignment="1"/>
    <xf numFmtId="0" fontId="0" fillId="0" borderId="10" xfId="0" applyBorder="1"/>
    <xf numFmtId="0" fontId="0" fillId="0" borderId="11" xfId="0" applyBorder="1"/>
    <xf numFmtId="0" fontId="0" fillId="16" borderId="0" xfId="0" applyFill="1"/>
  </cellXfs>
  <cellStyles count="2">
    <cellStyle name="Normal" xfId="0" builtinId="0"/>
    <cellStyle name="Percent" xfId="1" builtinId="5"/>
  </cellStyles>
  <dxfs count="0"/>
  <tableStyles count="0" defaultTableStyle="TableStyleMedium2" defaultPivotStyle="PivotStyleLight16"/>
  <colors>
    <mruColors>
      <color rgb="FFE4F353"/>
      <color rgb="FF99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LSTAT  Residual Plot</a:t>
            </a:r>
          </a:p>
        </c:rich>
      </c:tx>
      <c:overlay val="0"/>
    </c:title>
    <c:autoTitleDeleted val="0"/>
    <c:plotArea>
      <c:layout/>
      <c:scatterChart>
        <c:scatterStyle val="lineMarker"/>
        <c:varyColors val="0"/>
        <c:ser>
          <c:idx val="0"/>
          <c:order val="0"/>
          <c:spPr>
            <a:ln w="19050">
              <a:noFill/>
            </a:ln>
          </c:spPr>
          <c:xVal>
            <c:numRef>
              <c:f>'regression data'!$A$2:$A$507</c:f>
              <c:numCache>
                <c:formatCode>0.00\%</c:formatCode>
                <c:ptCount val="506"/>
                <c:pt idx="0">
                  <c:v>4.9800000000000004</c:v>
                </c:pt>
                <c:pt idx="1">
                  <c:v>9.14</c:v>
                </c:pt>
                <c:pt idx="2">
                  <c:v>4.03</c:v>
                </c:pt>
                <c:pt idx="3">
                  <c:v>2.94</c:v>
                </c:pt>
                <c:pt idx="4">
                  <c:v>5.33</c:v>
                </c:pt>
                <c:pt idx="5">
                  <c:v>5.21</c:v>
                </c:pt>
                <c:pt idx="6">
                  <c:v>12.43</c:v>
                </c:pt>
                <c:pt idx="7">
                  <c:v>19.149999999999999</c:v>
                </c:pt>
                <c:pt idx="8">
                  <c:v>29.93</c:v>
                </c:pt>
                <c:pt idx="9">
                  <c:v>17.100000000000001</c:v>
                </c:pt>
                <c:pt idx="10">
                  <c:v>20.45</c:v>
                </c:pt>
                <c:pt idx="11">
                  <c:v>13.27</c:v>
                </c:pt>
                <c:pt idx="12">
                  <c:v>15.71</c:v>
                </c:pt>
                <c:pt idx="13">
                  <c:v>8.26</c:v>
                </c:pt>
                <c:pt idx="14">
                  <c:v>10.26</c:v>
                </c:pt>
                <c:pt idx="15">
                  <c:v>8.4700000000000006</c:v>
                </c:pt>
                <c:pt idx="16">
                  <c:v>6.58</c:v>
                </c:pt>
                <c:pt idx="17">
                  <c:v>14.67</c:v>
                </c:pt>
                <c:pt idx="18">
                  <c:v>11.69</c:v>
                </c:pt>
                <c:pt idx="19">
                  <c:v>11.28</c:v>
                </c:pt>
                <c:pt idx="20">
                  <c:v>21.02</c:v>
                </c:pt>
                <c:pt idx="21">
                  <c:v>13.83</c:v>
                </c:pt>
                <c:pt idx="22">
                  <c:v>18.72</c:v>
                </c:pt>
                <c:pt idx="23">
                  <c:v>19.88</c:v>
                </c:pt>
                <c:pt idx="24">
                  <c:v>16.3</c:v>
                </c:pt>
                <c:pt idx="25">
                  <c:v>16.510000000000002</c:v>
                </c:pt>
                <c:pt idx="26">
                  <c:v>14.81</c:v>
                </c:pt>
                <c:pt idx="27">
                  <c:v>17.28</c:v>
                </c:pt>
                <c:pt idx="28">
                  <c:v>12.8</c:v>
                </c:pt>
                <c:pt idx="29">
                  <c:v>11.98</c:v>
                </c:pt>
                <c:pt idx="30">
                  <c:v>22.6</c:v>
                </c:pt>
                <c:pt idx="31">
                  <c:v>13.04</c:v>
                </c:pt>
                <c:pt idx="32">
                  <c:v>27.71</c:v>
                </c:pt>
                <c:pt idx="33">
                  <c:v>18.350000000000001</c:v>
                </c:pt>
                <c:pt idx="34">
                  <c:v>20.34</c:v>
                </c:pt>
                <c:pt idx="35">
                  <c:v>9.68</c:v>
                </c:pt>
                <c:pt idx="36">
                  <c:v>11.41</c:v>
                </c:pt>
                <c:pt idx="37">
                  <c:v>8.77</c:v>
                </c:pt>
                <c:pt idx="38">
                  <c:v>10.130000000000001</c:v>
                </c:pt>
                <c:pt idx="39">
                  <c:v>4.32</c:v>
                </c:pt>
                <c:pt idx="40">
                  <c:v>1.98</c:v>
                </c:pt>
                <c:pt idx="41">
                  <c:v>4.84</c:v>
                </c:pt>
                <c:pt idx="42">
                  <c:v>5.81</c:v>
                </c:pt>
                <c:pt idx="43">
                  <c:v>7.44</c:v>
                </c:pt>
                <c:pt idx="44">
                  <c:v>9.5500000000000007</c:v>
                </c:pt>
                <c:pt idx="45">
                  <c:v>10.210000000000001</c:v>
                </c:pt>
                <c:pt idx="46">
                  <c:v>14.15</c:v>
                </c:pt>
                <c:pt idx="47">
                  <c:v>18.8</c:v>
                </c:pt>
                <c:pt idx="48">
                  <c:v>30.81</c:v>
                </c:pt>
                <c:pt idx="49">
                  <c:v>16.2</c:v>
                </c:pt>
                <c:pt idx="50">
                  <c:v>13.45</c:v>
                </c:pt>
                <c:pt idx="51">
                  <c:v>9.43</c:v>
                </c:pt>
                <c:pt idx="52">
                  <c:v>5.28</c:v>
                </c:pt>
                <c:pt idx="53">
                  <c:v>8.43</c:v>
                </c:pt>
                <c:pt idx="54">
                  <c:v>14.8</c:v>
                </c:pt>
                <c:pt idx="55">
                  <c:v>4.8099999999999996</c:v>
                </c:pt>
                <c:pt idx="56">
                  <c:v>5.77</c:v>
                </c:pt>
                <c:pt idx="57">
                  <c:v>3.95</c:v>
                </c:pt>
                <c:pt idx="58">
                  <c:v>6.86</c:v>
                </c:pt>
                <c:pt idx="59">
                  <c:v>9.2200000000000006</c:v>
                </c:pt>
                <c:pt idx="60">
                  <c:v>13.15</c:v>
                </c:pt>
                <c:pt idx="61">
                  <c:v>14.44</c:v>
                </c:pt>
                <c:pt idx="62">
                  <c:v>6.73</c:v>
                </c:pt>
                <c:pt idx="63">
                  <c:v>9.5</c:v>
                </c:pt>
                <c:pt idx="64">
                  <c:v>8.0500000000000007</c:v>
                </c:pt>
                <c:pt idx="65">
                  <c:v>4.67</c:v>
                </c:pt>
                <c:pt idx="66">
                  <c:v>10.24</c:v>
                </c:pt>
                <c:pt idx="67">
                  <c:v>8.1</c:v>
                </c:pt>
                <c:pt idx="68">
                  <c:v>13.09</c:v>
                </c:pt>
                <c:pt idx="69">
                  <c:v>8.7899999999999991</c:v>
                </c:pt>
                <c:pt idx="70">
                  <c:v>6.72</c:v>
                </c:pt>
                <c:pt idx="71">
                  <c:v>9.8800000000000008</c:v>
                </c:pt>
                <c:pt idx="72">
                  <c:v>5.52</c:v>
                </c:pt>
                <c:pt idx="73">
                  <c:v>7.54</c:v>
                </c:pt>
                <c:pt idx="74">
                  <c:v>6.78</c:v>
                </c:pt>
                <c:pt idx="75">
                  <c:v>8.94</c:v>
                </c:pt>
                <c:pt idx="76">
                  <c:v>11.97</c:v>
                </c:pt>
                <c:pt idx="77">
                  <c:v>10.27</c:v>
                </c:pt>
                <c:pt idx="78">
                  <c:v>12.34</c:v>
                </c:pt>
                <c:pt idx="79">
                  <c:v>9.1</c:v>
                </c:pt>
                <c:pt idx="80">
                  <c:v>5.29</c:v>
                </c:pt>
                <c:pt idx="81">
                  <c:v>7.22</c:v>
                </c:pt>
                <c:pt idx="82">
                  <c:v>6.72</c:v>
                </c:pt>
                <c:pt idx="83">
                  <c:v>7.51</c:v>
                </c:pt>
                <c:pt idx="84">
                  <c:v>9.6199999999999992</c:v>
                </c:pt>
                <c:pt idx="85">
                  <c:v>6.53</c:v>
                </c:pt>
                <c:pt idx="86">
                  <c:v>12.86</c:v>
                </c:pt>
                <c:pt idx="87">
                  <c:v>8.44</c:v>
                </c:pt>
                <c:pt idx="88">
                  <c:v>5.5</c:v>
                </c:pt>
                <c:pt idx="89">
                  <c:v>5.7</c:v>
                </c:pt>
                <c:pt idx="90">
                  <c:v>8.81</c:v>
                </c:pt>
                <c:pt idx="91">
                  <c:v>8.1999999999999993</c:v>
                </c:pt>
                <c:pt idx="92">
                  <c:v>8.16</c:v>
                </c:pt>
                <c:pt idx="93">
                  <c:v>6.21</c:v>
                </c:pt>
                <c:pt idx="94">
                  <c:v>10.59</c:v>
                </c:pt>
                <c:pt idx="95">
                  <c:v>6.65</c:v>
                </c:pt>
                <c:pt idx="96">
                  <c:v>11.34</c:v>
                </c:pt>
                <c:pt idx="97">
                  <c:v>4.21</c:v>
                </c:pt>
                <c:pt idx="98">
                  <c:v>3.57</c:v>
                </c:pt>
                <c:pt idx="99">
                  <c:v>6.19</c:v>
                </c:pt>
                <c:pt idx="100">
                  <c:v>9.42</c:v>
                </c:pt>
                <c:pt idx="101">
                  <c:v>7.67</c:v>
                </c:pt>
                <c:pt idx="102">
                  <c:v>10.63</c:v>
                </c:pt>
                <c:pt idx="103">
                  <c:v>13.44</c:v>
                </c:pt>
                <c:pt idx="104">
                  <c:v>12.33</c:v>
                </c:pt>
                <c:pt idx="105">
                  <c:v>16.47</c:v>
                </c:pt>
                <c:pt idx="106">
                  <c:v>18.66</c:v>
                </c:pt>
                <c:pt idx="107">
                  <c:v>14.09</c:v>
                </c:pt>
                <c:pt idx="108">
                  <c:v>12.27</c:v>
                </c:pt>
                <c:pt idx="109">
                  <c:v>15.55</c:v>
                </c:pt>
                <c:pt idx="110">
                  <c:v>13</c:v>
                </c:pt>
                <c:pt idx="111">
                  <c:v>10.16</c:v>
                </c:pt>
                <c:pt idx="112">
                  <c:v>16.21</c:v>
                </c:pt>
                <c:pt idx="113">
                  <c:v>17.09</c:v>
                </c:pt>
                <c:pt idx="114">
                  <c:v>10.45</c:v>
                </c:pt>
                <c:pt idx="115">
                  <c:v>15.76</c:v>
                </c:pt>
                <c:pt idx="116">
                  <c:v>12.04</c:v>
                </c:pt>
                <c:pt idx="117">
                  <c:v>10.3</c:v>
                </c:pt>
                <c:pt idx="118">
                  <c:v>15.37</c:v>
                </c:pt>
                <c:pt idx="119">
                  <c:v>13.61</c:v>
                </c:pt>
                <c:pt idx="120">
                  <c:v>14.37</c:v>
                </c:pt>
                <c:pt idx="121">
                  <c:v>14.27</c:v>
                </c:pt>
                <c:pt idx="122">
                  <c:v>17.93</c:v>
                </c:pt>
                <c:pt idx="123">
                  <c:v>25.41</c:v>
                </c:pt>
                <c:pt idx="124">
                  <c:v>17.579999999999998</c:v>
                </c:pt>
                <c:pt idx="125">
                  <c:v>14.81</c:v>
                </c:pt>
                <c:pt idx="126">
                  <c:v>27.26</c:v>
                </c:pt>
                <c:pt idx="127">
                  <c:v>17.190000000000001</c:v>
                </c:pt>
                <c:pt idx="128">
                  <c:v>15.39</c:v>
                </c:pt>
                <c:pt idx="129">
                  <c:v>18.34</c:v>
                </c:pt>
                <c:pt idx="130">
                  <c:v>12.6</c:v>
                </c:pt>
                <c:pt idx="131">
                  <c:v>12.26</c:v>
                </c:pt>
                <c:pt idx="132">
                  <c:v>11.12</c:v>
                </c:pt>
                <c:pt idx="133">
                  <c:v>15.03</c:v>
                </c:pt>
                <c:pt idx="134">
                  <c:v>17.309999999999999</c:v>
                </c:pt>
                <c:pt idx="135">
                  <c:v>16.96</c:v>
                </c:pt>
                <c:pt idx="136">
                  <c:v>16.899999999999999</c:v>
                </c:pt>
                <c:pt idx="137">
                  <c:v>14.59</c:v>
                </c:pt>
                <c:pt idx="138">
                  <c:v>21.32</c:v>
                </c:pt>
                <c:pt idx="139">
                  <c:v>18.46</c:v>
                </c:pt>
                <c:pt idx="140">
                  <c:v>24.16</c:v>
                </c:pt>
                <c:pt idx="141">
                  <c:v>34.409999999999997</c:v>
                </c:pt>
                <c:pt idx="142">
                  <c:v>26.82</c:v>
                </c:pt>
                <c:pt idx="143">
                  <c:v>26.42</c:v>
                </c:pt>
                <c:pt idx="144">
                  <c:v>29.29</c:v>
                </c:pt>
                <c:pt idx="145">
                  <c:v>27.8</c:v>
                </c:pt>
                <c:pt idx="146">
                  <c:v>16.649999999999999</c:v>
                </c:pt>
                <c:pt idx="147">
                  <c:v>29.53</c:v>
                </c:pt>
                <c:pt idx="148">
                  <c:v>28.32</c:v>
                </c:pt>
                <c:pt idx="149">
                  <c:v>21.45</c:v>
                </c:pt>
                <c:pt idx="150">
                  <c:v>14.1</c:v>
                </c:pt>
                <c:pt idx="151">
                  <c:v>13.28</c:v>
                </c:pt>
                <c:pt idx="152">
                  <c:v>12.12</c:v>
                </c:pt>
                <c:pt idx="153">
                  <c:v>15.79</c:v>
                </c:pt>
                <c:pt idx="154">
                  <c:v>15.12</c:v>
                </c:pt>
                <c:pt idx="155">
                  <c:v>15.02</c:v>
                </c:pt>
                <c:pt idx="156">
                  <c:v>16.14</c:v>
                </c:pt>
                <c:pt idx="157">
                  <c:v>4.59</c:v>
                </c:pt>
                <c:pt idx="158">
                  <c:v>6.43</c:v>
                </c:pt>
                <c:pt idx="159">
                  <c:v>7.39</c:v>
                </c:pt>
                <c:pt idx="160">
                  <c:v>5.5</c:v>
                </c:pt>
                <c:pt idx="161">
                  <c:v>1.73</c:v>
                </c:pt>
                <c:pt idx="162">
                  <c:v>1.92</c:v>
                </c:pt>
                <c:pt idx="163">
                  <c:v>3.32</c:v>
                </c:pt>
                <c:pt idx="164">
                  <c:v>11.64</c:v>
                </c:pt>
                <c:pt idx="165">
                  <c:v>9.81</c:v>
                </c:pt>
                <c:pt idx="166">
                  <c:v>3.7</c:v>
                </c:pt>
                <c:pt idx="167">
                  <c:v>12.14</c:v>
                </c:pt>
                <c:pt idx="168">
                  <c:v>11.1</c:v>
                </c:pt>
                <c:pt idx="169">
                  <c:v>11.32</c:v>
                </c:pt>
                <c:pt idx="170">
                  <c:v>14.43</c:v>
                </c:pt>
                <c:pt idx="171">
                  <c:v>12.03</c:v>
                </c:pt>
                <c:pt idx="172">
                  <c:v>14.69</c:v>
                </c:pt>
                <c:pt idx="173">
                  <c:v>9.0399999999999991</c:v>
                </c:pt>
                <c:pt idx="174">
                  <c:v>9.64</c:v>
                </c:pt>
                <c:pt idx="175">
                  <c:v>5.33</c:v>
                </c:pt>
                <c:pt idx="176">
                  <c:v>10.11</c:v>
                </c:pt>
                <c:pt idx="177">
                  <c:v>6.29</c:v>
                </c:pt>
                <c:pt idx="178">
                  <c:v>6.92</c:v>
                </c:pt>
                <c:pt idx="179">
                  <c:v>5.04</c:v>
                </c:pt>
                <c:pt idx="180">
                  <c:v>7.56</c:v>
                </c:pt>
                <c:pt idx="181">
                  <c:v>9.4499999999999993</c:v>
                </c:pt>
                <c:pt idx="182">
                  <c:v>4.82</c:v>
                </c:pt>
                <c:pt idx="183">
                  <c:v>5.68</c:v>
                </c:pt>
                <c:pt idx="184">
                  <c:v>13.98</c:v>
                </c:pt>
                <c:pt idx="185">
                  <c:v>13.15</c:v>
                </c:pt>
                <c:pt idx="186">
                  <c:v>4.45</c:v>
                </c:pt>
                <c:pt idx="187">
                  <c:v>6.68</c:v>
                </c:pt>
                <c:pt idx="188">
                  <c:v>4.5599999999999996</c:v>
                </c:pt>
                <c:pt idx="189">
                  <c:v>5.39</c:v>
                </c:pt>
                <c:pt idx="190">
                  <c:v>5.0999999999999996</c:v>
                </c:pt>
                <c:pt idx="191">
                  <c:v>4.6900000000000004</c:v>
                </c:pt>
                <c:pt idx="192">
                  <c:v>2.87</c:v>
                </c:pt>
                <c:pt idx="193">
                  <c:v>5.03</c:v>
                </c:pt>
                <c:pt idx="194">
                  <c:v>4.38</c:v>
                </c:pt>
                <c:pt idx="195">
                  <c:v>2.97</c:v>
                </c:pt>
                <c:pt idx="196">
                  <c:v>4.08</c:v>
                </c:pt>
                <c:pt idx="197">
                  <c:v>8.61</c:v>
                </c:pt>
                <c:pt idx="198">
                  <c:v>6.62</c:v>
                </c:pt>
                <c:pt idx="199">
                  <c:v>4.5599999999999996</c:v>
                </c:pt>
                <c:pt idx="200">
                  <c:v>4.45</c:v>
                </c:pt>
                <c:pt idx="201">
                  <c:v>7.43</c:v>
                </c:pt>
                <c:pt idx="202">
                  <c:v>3.11</c:v>
                </c:pt>
                <c:pt idx="203">
                  <c:v>3.81</c:v>
                </c:pt>
                <c:pt idx="204">
                  <c:v>2.88</c:v>
                </c:pt>
                <c:pt idx="205">
                  <c:v>10.87</c:v>
                </c:pt>
                <c:pt idx="206">
                  <c:v>10.97</c:v>
                </c:pt>
                <c:pt idx="207">
                  <c:v>18.059999999999999</c:v>
                </c:pt>
                <c:pt idx="208">
                  <c:v>14.66</c:v>
                </c:pt>
                <c:pt idx="209">
                  <c:v>23.09</c:v>
                </c:pt>
                <c:pt idx="210">
                  <c:v>17.27</c:v>
                </c:pt>
                <c:pt idx="211">
                  <c:v>23.98</c:v>
                </c:pt>
                <c:pt idx="212">
                  <c:v>16.03</c:v>
                </c:pt>
                <c:pt idx="213">
                  <c:v>9.3800000000000008</c:v>
                </c:pt>
                <c:pt idx="214">
                  <c:v>29.55</c:v>
                </c:pt>
                <c:pt idx="215">
                  <c:v>9.4700000000000006</c:v>
                </c:pt>
                <c:pt idx="216">
                  <c:v>13.51</c:v>
                </c:pt>
                <c:pt idx="217">
                  <c:v>9.69</c:v>
                </c:pt>
                <c:pt idx="218">
                  <c:v>17.920000000000002</c:v>
                </c:pt>
                <c:pt idx="219">
                  <c:v>10.5</c:v>
                </c:pt>
                <c:pt idx="220">
                  <c:v>9.7100000000000009</c:v>
                </c:pt>
                <c:pt idx="221">
                  <c:v>21.46</c:v>
                </c:pt>
                <c:pt idx="222">
                  <c:v>9.93</c:v>
                </c:pt>
                <c:pt idx="223">
                  <c:v>7.6</c:v>
                </c:pt>
                <c:pt idx="224">
                  <c:v>4.1399999999999997</c:v>
                </c:pt>
                <c:pt idx="225">
                  <c:v>4.63</c:v>
                </c:pt>
                <c:pt idx="226">
                  <c:v>3.13</c:v>
                </c:pt>
                <c:pt idx="227">
                  <c:v>6.36</c:v>
                </c:pt>
                <c:pt idx="228">
                  <c:v>3.92</c:v>
                </c:pt>
                <c:pt idx="229">
                  <c:v>3.76</c:v>
                </c:pt>
                <c:pt idx="230">
                  <c:v>11.65</c:v>
                </c:pt>
                <c:pt idx="231">
                  <c:v>5.25</c:v>
                </c:pt>
                <c:pt idx="232">
                  <c:v>2.4700000000000002</c:v>
                </c:pt>
                <c:pt idx="233">
                  <c:v>3.95</c:v>
                </c:pt>
                <c:pt idx="234">
                  <c:v>8.0500000000000007</c:v>
                </c:pt>
                <c:pt idx="235">
                  <c:v>10.88</c:v>
                </c:pt>
                <c:pt idx="236">
                  <c:v>9.5399999999999991</c:v>
                </c:pt>
                <c:pt idx="237">
                  <c:v>4.7300000000000004</c:v>
                </c:pt>
                <c:pt idx="238">
                  <c:v>6.36</c:v>
                </c:pt>
                <c:pt idx="239">
                  <c:v>7.37</c:v>
                </c:pt>
                <c:pt idx="240">
                  <c:v>11.38</c:v>
                </c:pt>
                <c:pt idx="241">
                  <c:v>12.4</c:v>
                </c:pt>
                <c:pt idx="242">
                  <c:v>11.22</c:v>
                </c:pt>
                <c:pt idx="243">
                  <c:v>5.19</c:v>
                </c:pt>
                <c:pt idx="244">
                  <c:v>12.5</c:v>
                </c:pt>
                <c:pt idx="245">
                  <c:v>18.46</c:v>
                </c:pt>
                <c:pt idx="246">
                  <c:v>9.16</c:v>
                </c:pt>
                <c:pt idx="247">
                  <c:v>10.15</c:v>
                </c:pt>
                <c:pt idx="248">
                  <c:v>9.52</c:v>
                </c:pt>
                <c:pt idx="249">
                  <c:v>6.56</c:v>
                </c:pt>
                <c:pt idx="250">
                  <c:v>5.9</c:v>
                </c:pt>
                <c:pt idx="251">
                  <c:v>3.59</c:v>
                </c:pt>
                <c:pt idx="252">
                  <c:v>3.53</c:v>
                </c:pt>
                <c:pt idx="253">
                  <c:v>3.54</c:v>
                </c:pt>
                <c:pt idx="254">
                  <c:v>6.57</c:v>
                </c:pt>
                <c:pt idx="255">
                  <c:v>9.25</c:v>
                </c:pt>
                <c:pt idx="256">
                  <c:v>3.11</c:v>
                </c:pt>
                <c:pt idx="257">
                  <c:v>5.12</c:v>
                </c:pt>
                <c:pt idx="258">
                  <c:v>7.79</c:v>
                </c:pt>
                <c:pt idx="259">
                  <c:v>6.9</c:v>
                </c:pt>
                <c:pt idx="260">
                  <c:v>9.59</c:v>
                </c:pt>
                <c:pt idx="261">
                  <c:v>7.26</c:v>
                </c:pt>
                <c:pt idx="262">
                  <c:v>5.91</c:v>
                </c:pt>
                <c:pt idx="263">
                  <c:v>11.25</c:v>
                </c:pt>
                <c:pt idx="264">
                  <c:v>8.1</c:v>
                </c:pt>
                <c:pt idx="265">
                  <c:v>10.45</c:v>
                </c:pt>
                <c:pt idx="266">
                  <c:v>14.79</c:v>
                </c:pt>
                <c:pt idx="267">
                  <c:v>7.44</c:v>
                </c:pt>
                <c:pt idx="268">
                  <c:v>3.16</c:v>
                </c:pt>
                <c:pt idx="269">
                  <c:v>13.65</c:v>
                </c:pt>
                <c:pt idx="270">
                  <c:v>13</c:v>
                </c:pt>
                <c:pt idx="271">
                  <c:v>6.59</c:v>
                </c:pt>
                <c:pt idx="272">
                  <c:v>7.73</c:v>
                </c:pt>
                <c:pt idx="273">
                  <c:v>6.58</c:v>
                </c:pt>
                <c:pt idx="274">
                  <c:v>3.53</c:v>
                </c:pt>
                <c:pt idx="275">
                  <c:v>2.98</c:v>
                </c:pt>
                <c:pt idx="276">
                  <c:v>6.05</c:v>
                </c:pt>
                <c:pt idx="277">
                  <c:v>4.16</c:v>
                </c:pt>
                <c:pt idx="278">
                  <c:v>7.19</c:v>
                </c:pt>
                <c:pt idx="279">
                  <c:v>4.8499999999999996</c:v>
                </c:pt>
                <c:pt idx="280">
                  <c:v>3.76</c:v>
                </c:pt>
                <c:pt idx="281">
                  <c:v>4.59</c:v>
                </c:pt>
                <c:pt idx="282">
                  <c:v>3.01</c:v>
                </c:pt>
                <c:pt idx="283">
                  <c:v>3.16</c:v>
                </c:pt>
                <c:pt idx="284">
                  <c:v>7.85</c:v>
                </c:pt>
                <c:pt idx="285">
                  <c:v>8.23</c:v>
                </c:pt>
                <c:pt idx="286">
                  <c:v>12.93</c:v>
                </c:pt>
                <c:pt idx="287">
                  <c:v>7.14</c:v>
                </c:pt>
                <c:pt idx="288">
                  <c:v>7.6</c:v>
                </c:pt>
                <c:pt idx="289">
                  <c:v>9.51</c:v>
                </c:pt>
                <c:pt idx="290">
                  <c:v>3.33</c:v>
                </c:pt>
                <c:pt idx="291">
                  <c:v>3.56</c:v>
                </c:pt>
                <c:pt idx="292">
                  <c:v>4.7</c:v>
                </c:pt>
                <c:pt idx="293">
                  <c:v>8.58</c:v>
                </c:pt>
                <c:pt idx="294">
                  <c:v>10.4</c:v>
                </c:pt>
                <c:pt idx="295">
                  <c:v>6.27</c:v>
                </c:pt>
                <c:pt idx="296">
                  <c:v>7.39</c:v>
                </c:pt>
                <c:pt idx="297">
                  <c:v>15.84</c:v>
                </c:pt>
                <c:pt idx="298">
                  <c:v>4.97</c:v>
                </c:pt>
                <c:pt idx="299">
                  <c:v>4.74</c:v>
                </c:pt>
                <c:pt idx="300">
                  <c:v>6.07</c:v>
                </c:pt>
                <c:pt idx="301">
                  <c:v>9.5</c:v>
                </c:pt>
                <c:pt idx="302">
                  <c:v>8.67</c:v>
                </c:pt>
                <c:pt idx="303">
                  <c:v>4.8600000000000003</c:v>
                </c:pt>
                <c:pt idx="304">
                  <c:v>6.93</c:v>
                </c:pt>
                <c:pt idx="305">
                  <c:v>8.93</c:v>
                </c:pt>
                <c:pt idx="306">
                  <c:v>6.47</c:v>
                </c:pt>
                <c:pt idx="307">
                  <c:v>7.53</c:v>
                </c:pt>
                <c:pt idx="308">
                  <c:v>4.54</c:v>
                </c:pt>
                <c:pt idx="309">
                  <c:v>9.9700000000000006</c:v>
                </c:pt>
                <c:pt idx="310">
                  <c:v>12.64</c:v>
                </c:pt>
                <c:pt idx="311">
                  <c:v>5.98</c:v>
                </c:pt>
                <c:pt idx="312">
                  <c:v>11.72</c:v>
                </c:pt>
                <c:pt idx="313">
                  <c:v>7.9</c:v>
                </c:pt>
                <c:pt idx="314">
                  <c:v>9.2799999999999994</c:v>
                </c:pt>
                <c:pt idx="315">
                  <c:v>11.5</c:v>
                </c:pt>
                <c:pt idx="316">
                  <c:v>18.329999999999998</c:v>
                </c:pt>
                <c:pt idx="317">
                  <c:v>15.94</c:v>
                </c:pt>
                <c:pt idx="318">
                  <c:v>10.36</c:v>
                </c:pt>
                <c:pt idx="319">
                  <c:v>12.73</c:v>
                </c:pt>
                <c:pt idx="320">
                  <c:v>7.2</c:v>
                </c:pt>
                <c:pt idx="321">
                  <c:v>6.87</c:v>
                </c:pt>
                <c:pt idx="322">
                  <c:v>7.7</c:v>
                </c:pt>
                <c:pt idx="323">
                  <c:v>11.74</c:v>
                </c:pt>
                <c:pt idx="324">
                  <c:v>6.12</c:v>
                </c:pt>
                <c:pt idx="325">
                  <c:v>5.08</c:v>
                </c:pt>
                <c:pt idx="326">
                  <c:v>6.15</c:v>
                </c:pt>
                <c:pt idx="327">
                  <c:v>12.79</c:v>
                </c:pt>
                <c:pt idx="328">
                  <c:v>9.9700000000000006</c:v>
                </c:pt>
                <c:pt idx="329">
                  <c:v>7.34</c:v>
                </c:pt>
                <c:pt idx="330">
                  <c:v>9.09</c:v>
                </c:pt>
                <c:pt idx="331">
                  <c:v>12.43</c:v>
                </c:pt>
                <c:pt idx="332">
                  <c:v>7.83</c:v>
                </c:pt>
                <c:pt idx="333">
                  <c:v>5.68</c:v>
                </c:pt>
                <c:pt idx="334">
                  <c:v>6.75</c:v>
                </c:pt>
                <c:pt idx="335">
                  <c:v>8.01</c:v>
                </c:pt>
                <c:pt idx="336">
                  <c:v>9.8000000000000007</c:v>
                </c:pt>
                <c:pt idx="337">
                  <c:v>10.56</c:v>
                </c:pt>
                <c:pt idx="338">
                  <c:v>8.51</c:v>
                </c:pt>
                <c:pt idx="339">
                  <c:v>9.74</c:v>
                </c:pt>
                <c:pt idx="340">
                  <c:v>9.2899999999999991</c:v>
                </c:pt>
                <c:pt idx="341">
                  <c:v>5.49</c:v>
                </c:pt>
                <c:pt idx="342">
                  <c:v>8.65</c:v>
                </c:pt>
                <c:pt idx="343">
                  <c:v>7.18</c:v>
                </c:pt>
                <c:pt idx="344">
                  <c:v>4.6100000000000003</c:v>
                </c:pt>
                <c:pt idx="345">
                  <c:v>10.53</c:v>
                </c:pt>
                <c:pt idx="346">
                  <c:v>12.67</c:v>
                </c:pt>
                <c:pt idx="347">
                  <c:v>6.36</c:v>
                </c:pt>
                <c:pt idx="348">
                  <c:v>5.99</c:v>
                </c:pt>
                <c:pt idx="349">
                  <c:v>5.89</c:v>
                </c:pt>
                <c:pt idx="350">
                  <c:v>5.98</c:v>
                </c:pt>
                <c:pt idx="351">
                  <c:v>5.49</c:v>
                </c:pt>
                <c:pt idx="352">
                  <c:v>7.79</c:v>
                </c:pt>
                <c:pt idx="353">
                  <c:v>4.5</c:v>
                </c:pt>
                <c:pt idx="354">
                  <c:v>8.0500000000000007</c:v>
                </c:pt>
                <c:pt idx="355">
                  <c:v>5.57</c:v>
                </c:pt>
                <c:pt idx="356">
                  <c:v>17.600000000000001</c:v>
                </c:pt>
                <c:pt idx="357">
                  <c:v>13.27</c:v>
                </c:pt>
                <c:pt idx="358">
                  <c:v>11.48</c:v>
                </c:pt>
                <c:pt idx="359">
                  <c:v>12.67</c:v>
                </c:pt>
                <c:pt idx="360">
                  <c:v>7.79</c:v>
                </c:pt>
                <c:pt idx="361">
                  <c:v>14.19</c:v>
                </c:pt>
                <c:pt idx="362">
                  <c:v>10.19</c:v>
                </c:pt>
                <c:pt idx="363">
                  <c:v>14.64</c:v>
                </c:pt>
                <c:pt idx="364">
                  <c:v>5.29</c:v>
                </c:pt>
                <c:pt idx="365">
                  <c:v>7.12</c:v>
                </c:pt>
                <c:pt idx="366">
                  <c:v>14</c:v>
                </c:pt>
                <c:pt idx="367">
                  <c:v>13.33</c:v>
                </c:pt>
                <c:pt idx="368">
                  <c:v>3.26</c:v>
                </c:pt>
                <c:pt idx="369">
                  <c:v>3.73</c:v>
                </c:pt>
                <c:pt idx="370">
                  <c:v>2.96</c:v>
                </c:pt>
                <c:pt idx="371">
                  <c:v>9.5299999999999994</c:v>
                </c:pt>
                <c:pt idx="372">
                  <c:v>8.8800000000000008</c:v>
                </c:pt>
                <c:pt idx="373">
                  <c:v>34.770000000000003</c:v>
                </c:pt>
                <c:pt idx="374">
                  <c:v>37.97</c:v>
                </c:pt>
                <c:pt idx="375">
                  <c:v>13.44</c:v>
                </c:pt>
                <c:pt idx="376">
                  <c:v>23.24</c:v>
                </c:pt>
                <c:pt idx="377">
                  <c:v>21.24</c:v>
                </c:pt>
                <c:pt idx="378">
                  <c:v>23.69</c:v>
                </c:pt>
                <c:pt idx="379">
                  <c:v>21.78</c:v>
                </c:pt>
                <c:pt idx="380">
                  <c:v>17.21</c:v>
                </c:pt>
                <c:pt idx="381">
                  <c:v>21.08</c:v>
                </c:pt>
                <c:pt idx="382">
                  <c:v>23.6</c:v>
                </c:pt>
                <c:pt idx="383">
                  <c:v>24.56</c:v>
                </c:pt>
                <c:pt idx="384">
                  <c:v>30.63</c:v>
                </c:pt>
                <c:pt idx="385">
                  <c:v>30.81</c:v>
                </c:pt>
                <c:pt idx="386">
                  <c:v>28.28</c:v>
                </c:pt>
                <c:pt idx="387">
                  <c:v>31.99</c:v>
                </c:pt>
                <c:pt idx="388">
                  <c:v>30.62</c:v>
                </c:pt>
                <c:pt idx="389">
                  <c:v>20.85</c:v>
                </c:pt>
                <c:pt idx="390">
                  <c:v>17.11</c:v>
                </c:pt>
                <c:pt idx="391">
                  <c:v>18.760000000000002</c:v>
                </c:pt>
                <c:pt idx="392">
                  <c:v>25.68</c:v>
                </c:pt>
                <c:pt idx="393">
                  <c:v>15.17</c:v>
                </c:pt>
                <c:pt idx="394">
                  <c:v>16.350000000000001</c:v>
                </c:pt>
                <c:pt idx="395">
                  <c:v>17.12</c:v>
                </c:pt>
                <c:pt idx="396">
                  <c:v>19.37</c:v>
                </c:pt>
                <c:pt idx="397">
                  <c:v>19.920000000000002</c:v>
                </c:pt>
                <c:pt idx="398">
                  <c:v>30.59</c:v>
                </c:pt>
                <c:pt idx="399">
                  <c:v>29.97</c:v>
                </c:pt>
                <c:pt idx="400">
                  <c:v>26.77</c:v>
                </c:pt>
                <c:pt idx="401">
                  <c:v>20.32</c:v>
                </c:pt>
                <c:pt idx="402">
                  <c:v>20.309999999999999</c:v>
                </c:pt>
                <c:pt idx="403">
                  <c:v>19.77</c:v>
                </c:pt>
                <c:pt idx="404">
                  <c:v>27.38</c:v>
                </c:pt>
                <c:pt idx="405">
                  <c:v>22.98</c:v>
                </c:pt>
                <c:pt idx="406">
                  <c:v>23.34</c:v>
                </c:pt>
                <c:pt idx="407">
                  <c:v>12.13</c:v>
                </c:pt>
                <c:pt idx="408">
                  <c:v>26.4</c:v>
                </c:pt>
                <c:pt idx="409">
                  <c:v>19.78</c:v>
                </c:pt>
                <c:pt idx="410">
                  <c:v>10.11</c:v>
                </c:pt>
                <c:pt idx="411">
                  <c:v>21.22</c:v>
                </c:pt>
                <c:pt idx="412">
                  <c:v>34.369999999999997</c:v>
                </c:pt>
                <c:pt idx="413">
                  <c:v>20.079999999999998</c:v>
                </c:pt>
                <c:pt idx="414">
                  <c:v>36.979999999999997</c:v>
                </c:pt>
                <c:pt idx="415">
                  <c:v>29.05</c:v>
                </c:pt>
                <c:pt idx="416">
                  <c:v>25.79</c:v>
                </c:pt>
                <c:pt idx="417">
                  <c:v>26.64</c:v>
                </c:pt>
                <c:pt idx="418">
                  <c:v>20.62</c:v>
                </c:pt>
                <c:pt idx="419">
                  <c:v>22.74</c:v>
                </c:pt>
                <c:pt idx="420">
                  <c:v>15.02</c:v>
                </c:pt>
                <c:pt idx="421">
                  <c:v>15.7</c:v>
                </c:pt>
                <c:pt idx="422">
                  <c:v>14.1</c:v>
                </c:pt>
                <c:pt idx="423">
                  <c:v>23.29</c:v>
                </c:pt>
                <c:pt idx="424">
                  <c:v>17.16</c:v>
                </c:pt>
                <c:pt idx="425">
                  <c:v>24.39</c:v>
                </c:pt>
                <c:pt idx="426">
                  <c:v>15.69</c:v>
                </c:pt>
                <c:pt idx="427">
                  <c:v>14.52</c:v>
                </c:pt>
                <c:pt idx="428">
                  <c:v>21.52</c:v>
                </c:pt>
                <c:pt idx="429">
                  <c:v>24.08</c:v>
                </c:pt>
                <c:pt idx="430">
                  <c:v>17.64</c:v>
                </c:pt>
                <c:pt idx="431">
                  <c:v>19.690000000000001</c:v>
                </c:pt>
                <c:pt idx="432">
                  <c:v>12.03</c:v>
                </c:pt>
                <c:pt idx="433">
                  <c:v>16.22</c:v>
                </c:pt>
                <c:pt idx="434">
                  <c:v>15.17</c:v>
                </c:pt>
                <c:pt idx="435">
                  <c:v>23.27</c:v>
                </c:pt>
                <c:pt idx="436">
                  <c:v>18.05</c:v>
                </c:pt>
                <c:pt idx="437">
                  <c:v>26.45</c:v>
                </c:pt>
                <c:pt idx="438">
                  <c:v>34.020000000000003</c:v>
                </c:pt>
                <c:pt idx="439">
                  <c:v>22.88</c:v>
                </c:pt>
                <c:pt idx="440">
                  <c:v>22.11</c:v>
                </c:pt>
                <c:pt idx="441">
                  <c:v>19.52</c:v>
                </c:pt>
                <c:pt idx="442">
                  <c:v>16.59</c:v>
                </c:pt>
                <c:pt idx="443">
                  <c:v>18.850000000000001</c:v>
                </c:pt>
                <c:pt idx="444">
                  <c:v>23.79</c:v>
                </c:pt>
                <c:pt idx="445">
                  <c:v>23.98</c:v>
                </c:pt>
                <c:pt idx="446">
                  <c:v>17.79</c:v>
                </c:pt>
                <c:pt idx="447">
                  <c:v>16.440000000000001</c:v>
                </c:pt>
                <c:pt idx="448">
                  <c:v>18.13</c:v>
                </c:pt>
                <c:pt idx="449">
                  <c:v>19.309999999999999</c:v>
                </c:pt>
                <c:pt idx="450">
                  <c:v>17.440000000000001</c:v>
                </c:pt>
                <c:pt idx="451">
                  <c:v>17.73</c:v>
                </c:pt>
                <c:pt idx="452">
                  <c:v>17.27</c:v>
                </c:pt>
                <c:pt idx="453">
                  <c:v>16.739999999999998</c:v>
                </c:pt>
                <c:pt idx="454">
                  <c:v>18.71</c:v>
                </c:pt>
                <c:pt idx="455">
                  <c:v>18.13</c:v>
                </c:pt>
                <c:pt idx="456">
                  <c:v>19.010000000000002</c:v>
                </c:pt>
                <c:pt idx="457">
                  <c:v>16.940000000000001</c:v>
                </c:pt>
                <c:pt idx="458">
                  <c:v>16.23</c:v>
                </c:pt>
                <c:pt idx="459">
                  <c:v>14.7</c:v>
                </c:pt>
                <c:pt idx="460">
                  <c:v>16.420000000000002</c:v>
                </c:pt>
                <c:pt idx="461">
                  <c:v>14.65</c:v>
                </c:pt>
                <c:pt idx="462">
                  <c:v>13.99</c:v>
                </c:pt>
                <c:pt idx="463">
                  <c:v>10.29</c:v>
                </c:pt>
                <c:pt idx="464">
                  <c:v>13.22</c:v>
                </c:pt>
                <c:pt idx="465">
                  <c:v>14.13</c:v>
                </c:pt>
                <c:pt idx="466">
                  <c:v>17.149999999999999</c:v>
                </c:pt>
                <c:pt idx="467">
                  <c:v>21.32</c:v>
                </c:pt>
                <c:pt idx="468">
                  <c:v>18.13</c:v>
                </c:pt>
                <c:pt idx="469">
                  <c:v>14.76</c:v>
                </c:pt>
                <c:pt idx="470">
                  <c:v>16.29</c:v>
                </c:pt>
                <c:pt idx="471">
                  <c:v>12.87</c:v>
                </c:pt>
                <c:pt idx="472">
                  <c:v>14.36</c:v>
                </c:pt>
                <c:pt idx="473">
                  <c:v>11.66</c:v>
                </c:pt>
                <c:pt idx="474">
                  <c:v>18.14</c:v>
                </c:pt>
                <c:pt idx="475">
                  <c:v>24.1</c:v>
                </c:pt>
                <c:pt idx="476">
                  <c:v>18.68</c:v>
                </c:pt>
                <c:pt idx="477">
                  <c:v>24.91</c:v>
                </c:pt>
                <c:pt idx="478">
                  <c:v>18.03</c:v>
                </c:pt>
                <c:pt idx="479">
                  <c:v>13.11</c:v>
                </c:pt>
                <c:pt idx="480">
                  <c:v>10.74</c:v>
                </c:pt>
                <c:pt idx="481">
                  <c:v>7.74</c:v>
                </c:pt>
                <c:pt idx="482">
                  <c:v>7.01</c:v>
                </c:pt>
                <c:pt idx="483">
                  <c:v>10.42</c:v>
                </c:pt>
                <c:pt idx="484">
                  <c:v>13.34</c:v>
                </c:pt>
                <c:pt idx="485">
                  <c:v>10.58</c:v>
                </c:pt>
                <c:pt idx="486">
                  <c:v>14.98</c:v>
                </c:pt>
                <c:pt idx="487">
                  <c:v>11.45</c:v>
                </c:pt>
                <c:pt idx="488">
                  <c:v>18.059999999999999</c:v>
                </c:pt>
                <c:pt idx="489">
                  <c:v>23.97</c:v>
                </c:pt>
                <c:pt idx="490">
                  <c:v>29.68</c:v>
                </c:pt>
                <c:pt idx="491">
                  <c:v>18.07</c:v>
                </c:pt>
                <c:pt idx="492">
                  <c:v>13.35</c:v>
                </c:pt>
                <c:pt idx="493">
                  <c:v>12.01</c:v>
                </c:pt>
                <c:pt idx="494">
                  <c:v>13.59</c:v>
                </c:pt>
                <c:pt idx="495">
                  <c:v>17.600000000000001</c:v>
                </c:pt>
                <c:pt idx="496">
                  <c:v>21.14</c:v>
                </c:pt>
                <c:pt idx="497">
                  <c:v>14.1</c:v>
                </c:pt>
                <c:pt idx="498">
                  <c:v>12.92</c:v>
                </c:pt>
                <c:pt idx="499">
                  <c:v>15.1</c:v>
                </c:pt>
                <c:pt idx="500">
                  <c:v>14.33</c:v>
                </c:pt>
                <c:pt idx="501">
                  <c:v>9.67</c:v>
                </c:pt>
                <c:pt idx="502">
                  <c:v>9.08</c:v>
                </c:pt>
                <c:pt idx="503">
                  <c:v>5.64</c:v>
                </c:pt>
                <c:pt idx="504">
                  <c:v>6.48</c:v>
                </c:pt>
                <c:pt idx="505">
                  <c:v>7.88</c:v>
                </c:pt>
              </c:numCache>
            </c:numRef>
          </c:xVal>
          <c:yVal>
            <c:numRef>
              <c:f>'regressions Q.5'!$C$25:$C$530</c:f>
              <c:numCache>
                <c:formatCode>General</c:formatCode>
                <c:ptCount val="506"/>
                <c:pt idx="0">
                  <c:v>-5822.5950976683089</c:v>
                </c:pt>
                <c:pt idx="1">
                  <c:v>-4270.3897860350698</c:v>
                </c:pt>
                <c:pt idx="2">
                  <c:v>3974.8580162615981</c:v>
                </c:pt>
                <c:pt idx="3">
                  <c:v>1639.3042206653881</c:v>
                </c:pt>
                <c:pt idx="4">
                  <c:v>6709.9221761469889</c:v>
                </c:pt>
                <c:pt idx="5">
                  <c:v>-904.08374630397157</c:v>
                </c:pt>
                <c:pt idx="6">
                  <c:v>155.27258782872377</c:v>
                </c:pt>
                <c:pt idx="7">
                  <c:v>10739.604245082421</c:v>
                </c:pt>
                <c:pt idx="8">
                  <c:v>10381.13627859356</c:v>
                </c:pt>
                <c:pt idx="9">
                  <c:v>592.00306987854128</c:v>
                </c:pt>
                <c:pt idx="10">
                  <c:v>-125.33159503219213</c:v>
                </c:pt>
                <c:pt idx="11">
                  <c:v>-3046.6859550145673</c:v>
                </c:pt>
                <c:pt idx="12">
                  <c:v>2071.4344681549337</c:v>
                </c:pt>
                <c:pt idx="13">
                  <c:v>-6306.4332173420989</c:v>
                </c:pt>
                <c:pt idx="14">
                  <c:v>-6606.3345098261198</c:v>
                </c:pt>
                <c:pt idx="15">
                  <c:v>-6606.9228530529217</c:v>
                </c:pt>
                <c:pt idx="16">
                  <c:v>-5202.5161316555241</c:v>
                </c:pt>
                <c:pt idx="17">
                  <c:v>-3116.616859753376</c:v>
                </c:pt>
                <c:pt idx="18">
                  <c:v>-3247.763933952192</c:v>
                </c:pt>
                <c:pt idx="19">
                  <c:v>-5637.2841689929701</c:v>
                </c:pt>
                <c:pt idx="20">
                  <c:v>-983.80346339013704</c:v>
                </c:pt>
                <c:pt idx="21">
                  <c:v>-1814.6583169100923</c:v>
                </c:pt>
                <c:pt idx="22">
                  <c:v>-1568.9169770335175</c:v>
                </c:pt>
                <c:pt idx="23">
                  <c:v>-1166.8597266742472</c:v>
                </c:pt>
                <c:pt idx="24">
                  <c:v>-3468.0364131278548</c:v>
                </c:pt>
                <c:pt idx="25">
                  <c:v>-4968.5260488386739</c:v>
                </c:pt>
                <c:pt idx="26">
                  <c:v>-3883.6099502272591</c:v>
                </c:pt>
                <c:pt idx="27">
                  <c:v>-3336.9880464450216</c:v>
                </c:pt>
                <c:pt idx="28">
                  <c:v>-3993.2091512808183</c:v>
                </c:pt>
                <c:pt idx="29">
                  <c:v>-2172.2496213623745</c:v>
                </c:pt>
                <c:pt idx="30">
                  <c:v>-382.72548445250868</c:v>
                </c:pt>
                <c:pt idx="31">
                  <c:v>-7665.1973063789046</c:v>
                </c:pt>
                <c:pt idx="32">
                  <c:v>4972.0267132508234</c:v>
                </c:pt>
                <c:pt idx="33">
                  <c:v>-4020.4352379239717</c:v>
                </c:pt>
                <c:pt idx="34">
                  <c:v>-1729.8370239455689</c:v>
                </c:pt>
                <c:pt idx="35">
                  <c:v>-6457.3631350057549</c:v>
                </c:pt>
                <c:pt idx="36">
                  <c:v>-3713.7777530044259</c:v>
                </c:pt>
                <c:pt idx="37">
                  <c:v>-5221.9080469255241</c:v>
                </c:pt>
                <c:pt idx="38">
                  <c:v>-229.84092581465666</c:v>
                </c:pt>
                <c:pt idx="39">
                  <c:v>350.37232885141566</c:v>
                </c:pt>
                <c:pt idx="40">
                  <c:v>2227.2568410577187</c:v>
                </c:pt>
                <c:pt idx="41">
                  <c:v>-3355.6020071944295</c:v>
                </c:pt>
                <c:pt idx="42">
                  <c:v>-3734.0541340491764</c:v>
                </c:pt>
                <c:pt idx="43">
                  <c:v>-2785.4736874236514</c:v>
                </c:pt>
                <c:pt idx="44">
                  <c:v>-4280.8695509942918</c:v>
                </c:pt>
                <c:pt idx="45">
                  <c:v>-5553.8369775140163</c:v>
                </c:pt>
                <c:pt idx="46">
                  <c:v>-1110.6425237075309</c:v>
                </c:pt>
                <c:pt idx="47">
                  <c:v>-92.913028732877137</c:v>
                </c:pt>
                <c:pt idx="48">
                  <c:v>9117.1797099005926</c:v>
                </c:pt>
                <c:pt idx="49">
                  <c:v>236.95865149634483</c:v>
                </c:pt>
                <c:pt idx="50">
                  <c:v>-2075.6770713381266</c:v>
                </c:pt>
                <c:pt idx="51">
                  <c:v>-5094.8754734452523</c:v>
                </c:pt>
                <c:pt idx="52">
                  <c:v>-4537.5802915409113</c:v>
                </c:pt>
                <c:pt idx="53">
                  <c:v>-3144.9248272032419</c:v>
                </c:pt>
                <c:pt idx="54">
                  <c:v>-1593.1104437648391</c:v>
                </c:pt>
                <c:pt idx="55">
                  <c:v>5415.8965121928304</c:v>
                </c:pt>
                <c:pt idx="56">
                  <c:v>-4372.0561081994965</c:v>
                </c:pt>
                <c:pt idx="57">
                  <c:v>798.8540679609614</c:v>
                </c:pt>
                <c:pt idx="58">
                  <c:v>-4736.5023126032866</c:v>
                </c:pt>
                <c:pt idx="59">
                  <c:v>-6194.3858377344295</c:v>
                </c:pt>
                <c:pt idx="60">
                  <c:v>-3360.6918774655242</c:v>
                </c:pt>
                <c:pt idx="61">
                  <c:v>-4835.128211117717</c:v>
                </c:pt>
                <c:pt idx="62">
                  <c:v>-5960.0087285918271</c:v>
                </c:pt>
                <c:pt idx="63">
                  <c:v>-528.37201868218835</c:v>
                </c:pt>
                <c:pt idx="64">
                  <c:v>6094.0564183687238</c:v>
                </c:pt>
                <c:pt idx="65">
                  <c:v>-6617.1103973332865</c:v>
                </c:pt>
                <c:pt idx="66">
                  <c:v>-5425.3354969012798</c:v>
                </c:pt>
                <c:pt idx="67">
                  <c:v>-4858.4411139433796</c:v>
                </c:pt>
                <c:pt idx="68">
                  <c:v>-4717.6948386910044</c:v>
                </c:pt>
                <c:pt idx="69">
                  <c:v>-5302.9070598503677</c:v>
                </c:pt>
                <c:pt idx="70">
                  <c:v>-3969.5092221294071</c:v>
                </c:pt>
                <c:pt idx="71">
                  <c:v>-3467.3532642541541</c:v>
                </c:pt>
                <c:pt idx="72">
                  <c:v>-6509.5684466389939</c:v>
                </c:pt>
                <c:pt idx="73">
                  <c:v>-3990.4687520478547</c:v>
                </c:pt>
                <c:pt idx="74">
                  <c:v>-4012.5062609039269</c:v>
                </c:pt>
                <c:pt idx="75">
                  <c:v>-4660.399656786667</c:v>
                </c:pt>
                <c:pt idx="76">
                  <c:v>-3181.7501148999509</c:v>
                </c:pt>
                <c:pt idx="77">
                  <c:v>-3996.8340162885361</c:v>
                </c:pt>
                <c:pt idx="78">
                  <c:v>-1630.2318540094966</c:v>
                </c:pt>
                <c:pt idx="79">
                  <c:v>-5608.39176018539</c:v>
                </c:pt>
                <c:pt idx="80">
                  <c:v>-1528.0797980033312</c:v>
                </c:pt>
                <c:pt idx="81">
                  <c:v>-3794.4845452504087</c:v>
                </c:pt>
                <c:pt idx="82">
                  <c:v>-3369.5092221294071</c:v>
                </c:pt>
                <c:pt idx="83">
                  <c:v>-4518.9702326605911</c:v>
                </c:pt>
                <c:pt idx="84">
                  <c:v>-1514.3660962312351</c:v>
                </c:pt>
                <c:pt idx="85">
                  <c:v>-1750.0185993434243</c:v>
                </c:pt>
                <c:pt idx="86">
                  <c:v>163.79380994465828</c:v>
                </c:pt>
                <c:pt idx="87">
                  <c:v>-4335.4243336656618</c:v>
                </c:pt>
                <c:pt idx="88">
                  <c:v>-5728.569433714154</c:v>
                </c:pt>
                <c:pt idx="89">
                  <c:v>-438.55956296255681</c:v>
                </c:pt>
                <c:pt idx="90">
                  <c:v>-3583.9060727752039</c:v>
                </c:pt>
                <c:pt idx="91">
                  <c:v>-4763.4361785675792</c:v>
                </c:pt>
                <c:pt idx="92">
                  <c:v>-3901.4381527178994</c:v>
                </c:pt>
                <c:pt idx="93">
                  <c:v>-3654.034392545982</c:v>
                </c:pt>
                <c:pt idx="94">
                  <c:v>-3892.818223085982</c:v>
                </c:pt>
                <c:pt idx="95">
                  <c:v>163.98732310753621</c:v>
                </c:pt>
                <c:pt idx="96">
                  <c:v>-2380.2812077674898</c:v>
                </c:pt>
                <c:pt idx="97">
                  <c:v>8145.8668999380388</c:v>
                </c:pt>
                <c:pt idx="98">
                  <c:v>12637.835313532923</c:v>
                </c:pt>
                <c:pt idx="99">
                  <c:v>4526.9646203788579</c:v>
                </c:pt>
                <c:pt idx="100">
                  <c:v>1895.6240330171713</c:v>
                </c:pt>
                <c:pt idx="101">
                  <c:v>-766.96233605931411</c:v>
                </c:pt>
                <c:pt idx="102">
                  <c:v>-5854.8162489356619</c:v>
                </c:pt>
                <c:pt idx="103">
                  <c:v>-2485.1775648757102</c:v>
                </c:pt>
                <c:pt idx="104">
                  <c:v>-2739.7323475470766</c:v>
                </c:pt>
                <c:pt idx="105">
                  <c:v>593.47197701100231</c:v>
                </c:pt>
                <c:pt idx="106">
                  <c:v>2674.0800617410059</c:v>
                </c:pt>
                <c:pt idx="107">
                  <c:v>-767.64548493301118</c:v>
                </c:pt>
                <c:pt idx="108">
                  <c:v>-3096.7353087725569</c:v>
                </c:pt>
                <c:pt idx="109">
                  <c:v>-380.57342844634695</c:v>
                </c:pt>
                <c:pt idx="110">
                  <c:v>-503.19928052922478</c:v>
                </c:pt>
                <c:pt idx="111">
                  <c:v>-2101.3394452019165</c:v>
                </c:pt>
                <c:pt idx="112">
                  <c:v>-353.54085496607149</c:v>
                </c:pt>
                <c:pt idx="113">
                  <c:v>382.5025763409576</c:v>
                </c:pt>
                <c:pt idx="114">
                  <c:v>-6125.8251326121026</c:v>
                </c:pt>
                <c:pt idx="115">
                  <c:v>-1281.0630641571697</c:v>
                </c:pt>
                <c:pt idx="116">
                  <c:v>-1915.2466601368942</c:v>
                </c:pt>
                <c:pt idx="117">
                  <c:v>-5568.3325356757996</c:v>
                </c:pt>
                <c:pt idx="118">
                  <c:v>448.4176878772123</c:v>
                </c:pt>
                <c:pt idx="119">
                  <c:v>-2323.6691747368495</c:v>
                </c:pt>
                <c:pt idx="120">
                  <c:v>1098.3683341192227</c:v>
                </c:pt>
                <c:pt idx="121">
                  <c:v>-696.63660125657771</c:v>
                </c:pt>
                <c:pt idx="122">
                  <c:v>2980.5440334976702</c:v>
                </c:pt>
                <c:pt idx="123">
                  <c:v>6886.9131996074429</c:v>
                </c:pt>
                <c:pt idx="124">
                  <c:v>948.02675968237236</c:v>
                </c:pt>
                <c:pt idx="125">
                  <c:v>916.39004977274089</c:v>
                </c:pt>
                <c:pt idx="126">
                  <c:v>7044.5045040597288</c:v>
                </c:pt>
                <c:pt idx="127">
                  <c:v>-2022.492488283242</c:v>
                </c:pt>
                <c:pt idx="128">
                  <c:v>-1932.581325047624</c:v>
                </c:pt>
                <c:pt idx="129">
                  <c:v>-2829.9357314615518</c:v>
                </c:pt>
                <c:pt idx="130">
                  <c:v>-3383.2190220324192</c:v>
                </c:pt>
                <c:pt idx="131">
                  <c:v>-3306.2358023101369</c:v>
                </c:pt>
                <c:pt idx="132">
                  <c:v>-989.29206559424711</c:v>
                </c:pt>
                <c:pt idx="133">
                  <c:v>-1874.5990924005018</c:v>
                </c:pt>
                <c:pt idx="134">
                  <c:v>-2508.4865658322851</c:v>
                </c:pt>
                <c:pt idx="135">
                  <c:v>-341.0038396475793</c:v>
                </c:pt>
                <c:pt idx="136">
                  <c:v>-1098.0068008730595</c:v>
                </c:pt>
                <c:pt idx="137">
                  <c:v>-3592.6208080540164</c:v>
                </c:pt>
                <c:pt idx="138">
                  <c:v>-998.78865726273943</c:v>
                </c:pt>
                <c:pt idx="139">
                  <c:v>784.07019098940873</c:v>
                </c:pt>
                <c:pt idx="140">
                  <c:v>2399.351507409956</c:v>
                </c:pt>
                <c:pt idx="141">
                  <c:v>12537.357383429357</c:v>
                </c:pt>
                <c:pt idx="142">
                  <c:v>4326.4827884062106</c:v>
                </c:pt>
                <c:pt idx="143">
                  <c:v>6146.4630469030162</c:v>
                </c:pt>
                <c:pt idx="144">
                  <c:v>5073.1046921884481</c:v>
                </c:pt>
                <c:pt idx="145">
                  <c:v>5657.5311550890438</c:v>
                </c:pt>
                <c:pt idx="146">
                  <c:v>-3135.5191393125569</c:v>
                </c:pt>
                <c:pt idx="147">
                  <c:v>8101.1165370903655</c:v>
                </c:pt>
                <c:pt idx="148">
                  <c:v>10151.556819043199</c:v>
                </c:pt>
                <c:pt idx="149">
                  <c:v>1224.7177587257975</c:v>
                </c:pt>
                <c:pt idx="150">
                  <c:v>341.85500860456523</c:v>
                </c:pt>
                <c:pt idx="151">
                  <c:v>-2337.1854614769836</c:v>
                </c:pt>
                <c:pt idx="152">
                  <c:v>-7739.2427118362539</c:v>
                </c:pt>
                <c:pt idx="153">
                  <c:v>-152.5615835444296</c:v>
                </c:pt>
                <c:pt idx="154">
                  <c:v>-3189.0946505622851</c:v>
                </c:pt>
                <c:pt idx="155">
                  <c:v>-4684.0995859380819</c:v>
                </c:pt>
                <c:pt idx="156">
                  <c:v>-6120.0443097291318</c:v>
                </c:pt>
                <c:pt idx="157">
                  <c:v>11106.885654366073</c:v>
                </c:pt>
                <c:pt idx="158">
                  <c:v>-4145.0235347192211</c:v>
                </c:pt>
                <c:pt idx="159">
                  <c:v>-4232.9761551115516</c:v>
                </c:pt>
                <c:pt idx="160">
                  <c:v>-2328.569433714154</c:v>
                </c:pt>
                <c:pt idx="161">
                  <c:v>17089.744502618218</c:v>
                </c:pt>
                <c:pt idx="162">
                  <c:v>17270.253879832238</c:v>
                </c:pt>
                <c:pt idx="163">
                  <c:v>18600.322975093426</c:v>
                </c:pt>
                <c:pt idx="164">
                  <c:v>-795.26640164008859</c:v>
                </c:pt>
                <c:pt idx="165">
                  <c:v>-233.85671901721071</c:v>
                </c:pt>
                <c:pt idx="166">
                  <c:v>18961.34172952146</c:v>
                </c:pt>
                <c:pt idx="167">
                  <c:v>779.75827523890621</c:v>
                </c:pt>
                <c:pt idx="168">
                  <c:v>-208.29305266940355</c:v>
                </c:pt>
                <c:pt idx="169">
                  <c:v>-1499.2821948426499</c:v>
                </c:pt>
                <c:pt idx="170">
                  <c:v>-3444.628704655297</c:v>
                </c:pt>
                <c:pt idx="171">
                  <c:v>-4024.7471536744742</c:v>
                </c:pt>
                <c:pt idx="172">
                  <c:v>2502.3841273217804</c:v>
                </c:pt>
                <c:pt idx="173">
                  <c:v>-2365.3947214108703</c:v>
                </c:pt>
                <c:pt idx="174">
                  <c:v>-2795.3651091560714</c:v>
                </c:pt>
                <c:pt idx="175">
                  <c:v>-90.077823853011068</c:v>
                </c:pt>
                <c:pt idx="176">
                  <c:v>-1748.8419128898167</c:v>
                </c:pt>
                <c:pt idx="177">
                  <c:v>-3978.0304442453416</c:v>
                </c:pt>
                <c:pt idx="178">
                  <c:v>1920.5006486221937</c:v>
                </c:pt>
                <c:pt idx="179">
                  <c:v>7434.4078635571714</c:v>
                </c:pt>
                <c:pt idx="180">
                  <c:v>12428.532235027305</c:v>
                </c:pt>
                <c:pt idx="181">
                  <c:v>10624.125513629908</c:v>
                </c:pt>
                <c:pt idx="182">
                  <c:v>7925.3970057304105</c:v>
                </c:pt>
                <c:pt idx="183">
                  <c:v>3342.4394499622831</c:v>
                </c:pt>
                <c:pt idx="184">
                  <c:v>5127.8490861536084</c:v>
                </c:pt>
                <c:pt idx="185">
                  <c:v>7539.3081225344758</c:v>
                </c:pt>
                <c:pt idx="186">
                  <c:v>19673.878744839956</c:v>
                </c:pt>
                <c:pt idx="187">
                  <c:v>3792.4888037202763</c:v>
                </c:pt>
                <c:pt idx="188">
                  <c:v>-421.61582624666698</c:v>
                </c:pt>
                <c:pt idx="189">
                  <c:v>5466.9251373724655</c:v>
                </c:pt>
                <c:pt idx="190">
                  <c:v>7291.410824782648</c:v>
                </c:pt>
                <c:pt idx="191">
                  <c:v>401.89058974187355</c:v>
                </c:pt>
                <c:pt idx="192">
                  <c:v>4572.8007659023278</c:v>
                </c:pt>
                <c:pt idx="193">
                  <c:v>1324.9073700195913</c:v>
                </c:pt>
                <c:pt idx="194">
                  <c:v>-1292.6247099231041</c:v>
                </c:pt>
                <c:pt idx="195">
                  <c:v>18267.805701278128</c:v>
                </c:pt>
                <c:pt idx="196">
                  <c:v>2622.3604839494983</c:v>
                </c:pt>
                <c:pt idx="197">
                  <c:v>3926.0840564731952</c:v>
                </c:pt>
                <c:pt idx="198">
                  <c:v>6335.4858424947961</c:v>
                </c:pt>
                <c:pt idx="199">
                  <c:v>4678.384173753333</c:v>
                </c:pt>
                <c:pt idx="200">
                  <c:v>2573.8787448399562</c:v>
                </c:pt>
                <c:pt idx="201">
                  <c:v>-3394.9741809612315</c:v>
                </c:pt>
                <c:pt idx="202">
                  <c:v>10700.812610804249</c:v>
                </c:pt>
                <c:pt idx="203">
                  <c:v>17565.847158434841</c:v>
                </c:pt>
                <c:pt idx="204">
                  <c:v>18182.301259439912</c:v>
                </c:pt>
                <c:pt idx="205">
                  <c:v>-1626.8044040337445</c:v>
                </c:pt>
                <c:pt idx="206">
                  <c:v>268.20053134205591</c:v>
                </c:pt>
                <c:pt idx="207">
                  <c:v>5104.0504494862107</c:v>
                </c:pt>
                <c:pt idx="208">
                  <c:v>3773.8826467090403</c:v>
                </c:pt>
                <c:pt idx="209">
                  <c:v>7382.7986988889061</c:v>
                </c:pt>
                <c:pt idx="210">
                  <c:v>3553.5114600173983</c:v>
                </c:pt>
                <c:pt idx="211">
                  <c:v>7528.3426237335152</c:v>
                </c:pt>
                <c:pt idx="212">
                  <c:v>3075.4502613574878</c:v>
                </c:pt>
                <c:pt idx="213">
                  <c:v>2457.6220588668511</c:v>
                </c:pt>
                <c:pt idx="214">
                  <c:v>17220.117524165526</c:v>
                </c:pt>
                <c:pt idx="215">
                  <c:v>-556.87349929493212</c:v>
                </c:pt>
                <c:pt idx="216">
                  <c:v>1581.3258898873537</c:v>
                </c:pt>
                <c:pt idx="217">
                  <c:v>3352.1373585318288</c:v>
                </c:pt>
                <c:pt idx="218">
                  <c:v>3971.0435399600938</c:v>
                </c:pt>
                <c:pt idx="219">
                  <c:v>-1578.3226649241988</c:v>
                </c:pt>
                <c:pt idx="220">
                  <c:v>1371.1383456069889</c:v>
                </c:pt>
                <c:pt idx="221">
                  <c:v>7534.2182522633811</c:v>
                </c:pt>
                <c:pt idx="222">
                  <c:v>2380.1492034337425</c:v>
                </c:pt>
                <c:pt idx="223">
                  <c:v>2766.5342091776256</c:v>
                </c:pt>
                <c:pt idx="224">
                  <c:v>14179.363445174979</c:v>
                </c:pt>
                <c:pt idx="225">
                  <c:v>19844.887628516393</c:v>
                </c:pt>
                <c:pt idx="226">
                  <c:v>6019.8135978794089</c:v>
                </c:pt>
                <c:pt idx="227">
                  <c:v>3088.4730105177186</c:v>
                </c:pt>
                <c:pt idx="228">
                  <c:v>15870.352587348221</c:v>
                </c:pt>
                <c:pt idx="229">
                  <c:v>518.34469074694061</c:v>
                </c:pt>
                <c:pt idx="230">
                  <c:v>814.23409189748782</c:v>
                </c:pt>
                <c:pt idx="231">
                  <c:v>2133.9182278463486</c:v>
                </c:pt>
                <c:pt idx="232">
                  <c:v>9492.7810243991335</c:v>
                </c:pt>
                <c:pt idx="233">
                  <c:v>17498.854067960961</c:v>
                </c:pt>
                <c:pt idx="234">
                  <c:v>2094.0564183687238</c:v>
                </c:pt>
                <c:pt idx="235">
                  <c:v>-217.30391049616446</c:v>
                </c:pt>
                <c:pt idx="236">
                  <c:v>-390.37004453187183</c:v>
                </c:pt>
                <c:pt idx="237">
                  <c:v>1439.8925638921937</c:v>
                </c:pt>
                <c:pt idx="238">
                  <c:v>-4811.5269894822814</c:v>
                </c:pt>
                <c:pt idx="239">
                  <c:v>-4251.9771421867117</c:v>
                </c:pt>
                <c:pt idx="240">
                  <c:v>-1742.2792336171697</c:v>
                </c:pt>
                <c:pt idx="241">
                  <c:v>-2673.2288927840164</c:v>
                </c:pt>
                <c:pt idx="242">
                  <c:v>-1694.2871302184467</c:v>
                </c:pt>
                <c:pt idx="243">
                  <c:v>-5923.0847333791316</c:v>
                </c:pt>
                <c:pt idx="244">
                  <c:v>-5078.2239574082196</c:v>
                </c:pt>
                <c:pt idx="245">
                  <c:v>1484.0701909894087</c:v>
                </c:pt>
                <c:pt idx="246">
                  <c:v>-1551.3887989599098</c:v>
                </c:pt>
                <c:pt idx="247">
                  <c:v>-4410.8399387394966</c:v>
                </c:pt>
                <c:pt idx="248">
                  <c:v>-1009.3710316070319</c:v>
                </c:pt>
                <c:pt idx="249">
                  <c:v>-2121.5171187306842</c:v>
                </c:pt>
                <c:pt idx="250">
                  <c:v>-4548.5496922109596</c:v>
                </c:pt>
                <c:pt idx="251">
                  <c:v>-6343.1636993919165</c:v>
                </c:pt>
                <c:pt idx="252">
                  <c:v>-1600.1666606173967</c:v>
                </c:pt>
                <c:pt idx="253">
                  <c:v>11609.333832920183</c:v>
                </c:pt>
                <c:pt idx="254">
                  <c:v>-6412.0166251931041</c:v>
                </c:pt>
                <c:pt idx="255">
                  <c:v>-4865.8843571216894</c:v>
                </c:pt>
                <c:pt idx="256">
                  <c:v>12400.812610804249</c:v>
                </c:pt>
                <c:pt idx="257">
                  <c:v>20310.411811857808</c:v>
                </c:pt>
                <c:pt idx="258">
                  <c:v>8847.0435863916427</c:v>
                </c:pt>
                <c:pt idx="259">
                  <c:v>2101.4996615470336</c:v>
                </c:pt>
                <c:pt idx="260">
                  <c:v>8357.1324231560284</c:v>
                </c:pt>
                <c:pt idx="261">
                  <c:v>15443.517428899911</c:v>
                </c:pt>
                <c:pt idx="262">
                  <c:v>19860.950801326624</c:v>
                </c:pt>
                <c:pt idx="263">
                  <c:v>7134.2143503942934</c:v>
                </c:pt>
                <c:pt idx="264">
                  <c:v>9641.5588860566204</c:v>
                </c:pt>
                <c:pt idx="265">
                  <c:v>-1825.8251326121026</c:v>
                </c:pt>
                <c:pt idx="266">
                  <c:v>10197.389062697577</c:v>
                </c:pt>
                <c:pt idx="267">
                  <c:v>22514.526312576349</c:v>
                </c:pt>
                <c:pt idx="268">
                  <c:v>11948.315078492145</c:v>
                </c:pt>
                <c:pt idx="269">
                  <c:v>-885.66720058652936</c:v>
                </c:pt>
                <c:pt idx="270">
                  <c:v>-1103.1992805292248</c:v>
                </c:pt>
                <c:pt idx="271">
                  <c:v>-3093.015638117944</c:v>
                </c:pt>
                <c:pt idx="272">
                  <c:v>-2809.9593748338339</c:v>
                </c:pt>
                <c:pt idx="273">
                  <c:v>6897.4838683444759</c:v>
                </c:pt>
                <c:pt idx="274">
                  <c:v>1199.8333393826033</c:v>
                </c:pt>
                <c:pt idx="275">
                  <c:v>277.3061948157083</c:v>
                </c:pt>
                <c:pt idx="276">
                  <c:v>4393.957710852741</c:v>
                </c:pt>
                <c:pt idx="277">
                  <c:v>2498.3644322501386</c:v>
                </c:pt>
                <c:pt idx="278">
                  <c:v>1377.0139741368512</c:v>
                </c:pt>
                <c:pt idx="279">
                  <c:v>5153.8984863431506</c:v>
                </c:pt>
                <c:pt idx="280">
                  <c:v>14418.344690746941</c:v>
                </c:pt>
                <c:pt idx="281">
                  <c:v>5206.8856543660731</c:v>
                </c:pt>
                <c:pt idx="282">
                  <c:v>14305.807675428448</c:v>
                </c:pt>
                <c:pt idx="283">
                  <c:v>18448.315078492145</c:v>
                </c:pt>
                <c:pt idx="284">
                  <c:v>5104.0465476171266</c:v>
                </c:pt>
                <c:pt idx="285">
                  <c:v>-4734.9346979548391</c:v>
                </c:pt>
                <c:pt idx="286">
                  <c:v>-2169.7027352922814</c:v>
                </c:pt>
                <c:pt idx="287">
                  <c:v>-4570.488493551049</c:v>
                </c:pt>
                <c:pt idx="288">
                  <c:v>-5033.4657908223744</c:v>
                </c:pt>
                <c:pt idx="289">
                  <c:v>-718.87152514461195</c:v>
                </c:pt>
                <c:pt idx="290">
                  <c:v>-2890.1765313689939</c:v>
                </c:pt>
                <c:pt idx="291">
                  <c:v>6128.3348199953434</c:v>
                </c:pt>
                <c:pt idx="292">
                  <c:v>-2188.6089167205464</c:v>
                </c:pt>
                <c:pt idx="293">
                  <c:v>-2502.4174241395413</c:v>
                </c:pt>
                <c:pt idx="294">
                  <c:v>-2973.3276002999992</c:v>
                </c:pt>
                <c:pt idx="295">
                  <c:v>2.9685686794982757</c:v>
                </c:pt>
                <c:pt idx="296">
                  <c:v>-432.97615511155163</c:v>
                </c:pt>
                <c:pt idx="297">
                  <c:v>794.94088414347061</c:v>
                </c:pt>
                <c:pt idx="298">
                  <c:v>-7332.0955912058889</c:v>
                </c:pt>
                <c:pt idx="299">
                  <c:v>-1050.6069425702262</c:v>
                </c:pt>
                <c:pt idx="300">
                  <c:v>-3987.0413020720989</c:v>
                </c:pt>
                <c:pt idx="301">
                  <c:v>-3528.3720186821884</c:v>
                </c:pt>
                <c:pt idx="302">
                  <c:v>83.087017698679119</c:v>
                </c:pt>
                <c:pt idx="303">
                  <c:v>3163.3989798807306</c:v>
                </c:pt>
                <c:pt idx="304">
                  <c:v>8130.0011421597737</c:v>
                </c:pt>
                <c:pt idx="305">
                  <c:v>2330.0998496757529</c:v>
                </c:pt>
                <c:pt idx="306">
                  <c:v>4992.9784394310955</c:v>
                </c:pt>
                <c:pt idx="307">
                  <c:v>800.03075441456895</c:v>
                </c:pt>
                <c:pt idx="308">
                  <c:v>-7440.6168133218234</c:v>
                </c:pt>
                <c:pt idx="309">
                  <c:v>-4781.8488224159373</c:v>
                </c:pt>
                <c:pt idx="310">
                  <c:v>-6445.2170478820972</c:v>
                </c:pt>
                <c:pt idx="311">
                  <c:v>-6772.5457439103193</c:v>
                </c:pt>
                <c:pt idx="312">
                  <c:v>-4019.2624533394483</c:v>
                </c:pt>
                <c:pt idx="313">
                  <c:v>-5448.4509846949768</c:v>
                </c:pt>
                <c:pt idx="314">
                  <c:v>-1937.3828765089493</c:v>
                </c:pt>
                <c:pt idx="315">
                  <c:v>-7428.2733111662092</c:v>
                </c:pt>
                <c:pt idx="316">
                  <c:v>660.56377500086819</c:v>
                </c:pt>
                <c:pt idx="317">
                  <c:v>389.94581951927103</c:v>
                </c:pt>
                <c:pt idx="318">
                  <c:v>-1611.3295744503193</c:v>
                </c:pt>
                <c:pt idx="319">
                  <c:v>-1459.7126060438823</c:v>
                </c:pt>
                <c:pt idx="320">
                  <c:v>-3913.4855323255688</c:v>
                </c:pt>
                <c:pt idx="321">
                  <c:v>-4927.0018190657065</c:v>
                </c:pt>
                <c:pt idx="322">
                  <c:v>-6838.460855446574</c:v>
                </c:pt>
                <c:pt idx="323">
                  <c:v>-4900.2614662642918</c:v>
                </c:pt>
                <c:pt idx="324">
                  <c:v>-3739.5388343841987</c:v>
                </c:pt>
                <c:pt idx="325">
                  <c:v>-5127.5901622925085</c:v>
                </c:pt>
                <c:pt idx="326">
                  <c:v>-5711.0373537714622</c:v>
                </c:pt>
                <c:pt idx="327">
                  <c:v>-202.70964481840201</c:v>
                </c:pt>
                <c:pt idx="328">
                  <c:v>-5781.8488224159373</c:v>
                </c:pt>
                <c:pt idx="329">
                  <c:v>-4980.4786227994518</c:v>
                </c:pt>
                <c:pt idx="330">
                  <c:v>-6117.8922537229664</c:v>
                </c:pt>
                <c:pt idx="331">
                  <c:v>-5644.7274121712762</c:v>
                </c:pt>
                <c:pt idx="332">
                  <c:v>-7714.9544394580371</c:v>
                </c:pt>
                <c:pt idx="333">
                  <c:v>-6957.5605500377169</c:v>
                </c:pt>
                <c:pt idx="334">
                  <c:v>-7441.007741516667</c:v>
                </c:pt>
                <c:pt idx="335">
                  <c:v>-5843.9455557815963</c:v>
                </c:pt>
                <c:pt idx="336">
                  <c:v>-5743.3572125547944</c:v>
                </c:pt>
                <c:pt idx="337">
                  <c:v>-6021.3197036987185</c:v>
                </c:pt>
                <c:pt idx="338">
                  <c:v>-5868.9208789026015</c:v>
                </c:pt>
                <c:pt idx="339">
                  <c:v>-6300.3601737802746</c:v>
                </c:pt>
                <c:pt idx="340">
                  <c:v>-7027.8823829713692</c:v>
                </c:pt>
                <c:pt idx="341">
                  <c:v>3361.9300727482696</c:v>
                </c:pt>
                <c:pt idx="342">
                  <c:v>-9835.913969376481</c:v>
                </c:pt>
                <c:pt idx="343">
                  <c:v>-3832.4865194007289</c:v>
                </c:pt>
                <c:pt idx="344">
                  <c:v>1025.8866414412332</c:v>
                </c:pt>
                <c:pt idx="345">
                  <c:v>-7049.8211843114623</c:v>
                </c:pt>
                <c:pt idx="346">
                  <c:v>-5316.7155672693625</c:v>
                </c:pt>
                <c:pt idx="347">
                  <c:v>-5411.5269894822814</c:v>
                </c:pt>
                <c:pt idx="348">
                  <c:v>-4363.0452503727392</c:v>
                </c:pt>
                <c:pt idx="349">
                  <c:v>-2358.050185748536</c:v>
                </c:pt>
                <c:pt idx="350">
                  <c:v>-5972.5457439103193</c:v>
                </c:pt>
                <c:pt idx="351">
                  <c:v>-5238.069927251734</c:v>
                </c:pt>
                <c:pt idx="352">
                  <c:v>-8552.9564136083573</c:v>
                </c:pt>
                <c:pt idx="353">
                  <c:v>-178.61878747214359</c:v>
                </c:pt>
                <c:pt idx="354">
                  <c:v>-8705.9435816312762</c:v>
                </c:pt>
                <c:pt idx="355">
                  <c:v>-8662.0659789510937</c:v>
                </c:pt>
                <c:pt idx="356">
                  <c:v>-32.972253242463921</c:v>
                </c:pt>
                <c:pt idx="357">
                  <c:v>-246.6859550145673</c:v>
                </c:pt>
                <c:pt idx="358">
                  <c:v>-947.27429824136925</c:v>
                </c:pt>
                <c:pt idx="359">
                  <c:v>83.284432730637491</c:v>
                </c:pt>
                <c:pt idx="360">
                  <c:v>-2152.9564136083573</c:v>
                </c:pt>
                <c:pt idx="361">
                  <c:v>-1172.6405495572144</c:v>
                </c:pt>
                <c:pt idx="362">
                  <c:v>-4072.8379645891764</c:v>
                </c:pt>
                <c:pt idx="363">
                  <c:v>-3845.1183403661198</c:v>
                </c:pt>
                <c:pt idx="364">
                  <c:v>-7628.0797980033312</c:v>
                </c:pt>
                <c:pt idx="365">
                  <c:v>-289.48948062620912</c:v>
                </c:pt>
                <c:pt idx="366">
                  <c:v>646.85007322876845</c:v>
                </c:pt>
                <c:pt idx="367">
                  <c:v>1210.317006210913</c:v>
                </c:pt>
                <c:pt idx="368">
                  <c:v>18543.320013867946</c:v>
                </c:pt>
                <c:pt idx="369">
                  <c:v>18989.8432101342</c:v>
                </c:pt>
                <c:pt idx="370">
                  <c:v>18258.305207740548</c:v>
                </c:pt>
                <c:pt idx="371">
                  <c:v>24500.129461930548</c:v>
                </c:pt>
                <c:pt idx="372">
                  <c:v>23882.597381987856</c:v>
                </c:pt>
                <c:pt idx="373">
                  <c:v>12279.375150782238</c:v>
                </c:pt>
                <c:pt idx="374">
                  <c:v>15319.533082807808</c:v>
                </c:pt>
                <c:pt idx="375">
                  <c:v>-6785.1775648757102</c:v>
                </c:pt>
                <c:pt idx="376">
                  <c:v>1425.3061019526031</c:v>
                </c:pt>
                <c:pt idx="377">
                  <c:v>-1074.7926055633798</c:v>
                </c:pt>
                <c:pt idx="378">
                  <c:v>1052.8283111437013</c:v>
                </c:pt>
                <c:pt idx="379">
                  <c:v>-3661.7659545340612</c:v>
                </c:pt>
                <c:pt idx="380">
                  <c:v>-7803.4915012080819</c:v>
                </c:pt>
                <c:pt idx="381">
                  <c:v>-3626.8005021646604</c:v>
                </c:pt>
                <c:pt idx="382">
                  <c:v>-832.67613069451909</c:v>
                </c:pt>
                <c:pt idx="383">
                  <c:v>1079.3712489131503</c:v>
                </c:pt>
                <c:pt idx="384">
                  <c:v>3346.1708262241555</c:v>
                </c:pt>
                <c:pt idx="385">
                  <c:v>1917.1797099005926</c:v>
                </c:pt>
                <c:pt idx="386">
                  <c:v>2813.5548448928785</c:v>
                </c:pt>
                <c:pt idx="387">
                  <c:v>3238.2379473350229</c:v>
                </c:pt>
                <c:pt idx="388">
                  <c:v>4736.6703326865754</c:v>
                </c:pt>
                <c:pt idx="389">
                  <c:v>-3245.3118535289941</c:v>
                </c:pt>
                <c:pt idx="390">
                  <c:v>-3198.4964365838823</c:v>
                </c:pt>
                <c:pt idx="391">
                  <c:v>6469.0849971168063</c:v>
                </c:pt>
                <c:pt idx="392">
                  <c:v>-456.57347487789957</c:v>
                </c:pt>
                <c:pt idx="393">
                  <c:v>-6341.5921828743813</c:v>
                </c:pt>
                <c:pt idx="394">
                  <c:v>-6320.5339454399509</c:v>
                </c:pt>
                <c:pt idx="395">
                  <c:v>-5188.9959430462986</c:v>
                </c:pt>
                <c:pt idx="396">
                  <c:v>-3651.3848970908221</c:v>
                </c:pt>
                <c:pt idx="397">
                  <c:v>-7128.8577525239234</c:v>
                </c:pt>
                <c:pt idx="398">
                  <c:v>-491.8311479261647</c:v>
                </c:pt>
                <c:pt idx="399">
                  <c:v>219.13825274388</c:v>
                </c:pt>
                <c:pt idx="400">
                  <c:v>-3521.0196792816896</c:v>
                </c:pt>
                <c:pt idx="401">
                  <c:v>-8048.838011020729</c:v>
                </c:pt>
                <c:pt idx="402">
                  <c:v>-3158.3385045583127</c:v>
                </c:pt>
                <c:pt idx="403">
                  <c:v>-7471.365155587624</c:v>
                </c:pt>
                <c:pt idx="404">
                  <c:v>-41.489573489314353</c:v>
                </c:pt>
                <c:pt idx="405">
                  <c:v>-7721.7067300244744</c:v>
                </c:pt>
                <c:pt idx="406">
                  <c:v>-479.68896267159653</c:v>
                </c:pt>
                <c:pt idx="407">
                  <c:v>4870.2577817013262</c:v>
                </c:pt>
                <c:pt idx="408">
                  <c:v>7727.4620598278525</c:v>
                </c:pt>
                <c:pt idx="409">
                  <c:v>11738.135337949956</c:v>
                </c:pt>
                <c:pt idx="410">
                  <c:v>-9948.8419128898167</c:v>
                </c:pt>
                <c:pt idx="411">
                  <c:v>2806.2064073614602</c:v>
                </c:pt>
                <c:pt idx="412">
                  <c:v>15999.35540927904</c:v>
                </c:pt>
                <c:pt idx="413">
                  <c:v>823.15014407734998</c:v>
                </c:pt>
                <c:pt idx="414">
                  <c:v>7578.9842225873945</c:v>
                </c:pt>
                <c:pt idx="415">
                  <c:v>245.09284728653074</c:v>
                </c:pt>
                <c:pt idx="416">
                  <c:v>-2552.0680459645228</c:v>
                </c:pt>
                <c:pt idx="417">
                  <c:v>1155.4739047297735</c:v>
                </c:pt>
                <c:pt idx="418">
                  <c:v>-6163.8232048933314</c:v>
                </c:pt>
                <c:pt idx="419">
                  <c:v>-4549.7185749263954</c:v>
                </c:pt>
                <c:pt idx="420">
                  <c:v>-3584.0995859380819</c:v>
                </c:pt>
                <c:pt idx="421">
                  <c:v>-5438.06602538265</c:v>
                </c:pt>
                <c:pt idx="422">
                  <c:v>-358.14499139543477</c:v>
                </c:pt>
                <c:pt idx="423">
                  <c:v>972.80856964050326</c:v>
                </c:pt>
                <c:pt idx="424">
                  <c:v>-6550.9939688959785</c:v>
                </c:pt>
                <c:pt idx="425">
                  <c:v>-3082.1371412257067</c:v>
                </c:pt>
                <c:pt idx="426">
                  <c:v>-9447.5665189202264</c:v>
                </c:pt>
                <c:pt idx="427">
                  <c:v>-9859.1242628170767</c:v>
                </c:pt>
                <c:pt idx="428">
                  <c:v>-3108.7787865111422</c:v>
                </c:pt>
                <c:pt idx="429">
                  <c:v>-2176.6524408906844</c:v>
                </c:pt>
                <c:pt idx="430">
                  <c:v>-3294.9702790921438</c:v>
                </c:pt>
                <c:pt idx="431">
                  <c:v>-1747.3691038882644</c:v>
                </c:pt>
                <c:pt idx="432">
                  <c:v>-7024.7471536744724</c:v>
                </c:pt>
                <c:pt idx="433">
                  <c:v>-4844.0403614284951</c:v>
                </c:pt>
                <c:pt idx="434">
                  <c:v>-8441.5921828743813</c:v>
                </c:pt>
                <c:pt idx="435">
                  <c:v>953.80758256534318</c:v>
                </c:pt>
                <c:pt idx="436">
                  <c:v>-7805.4500440513693</c:v>
                </c:pt>
                <c:pt idx="437">
                  <c:v>-725.03547248424729</c:v>
                </c:pt>
                <c:pt idx="438">
                  <c:v>6166.8381354637459</c:v>
                </c:pt>
                <c:pt idx="439">
                  <c:v>-16.711665400274796</c:v>
                </c:pt>
                <c:pt idx="440">
                  <c:v>-3048.2496677939271</c:v>
                </c:pt>
                <c:pt idx="441">
                  <c:v>1091.1225059728786</c:v>
                </c:pt>
                <c:pt idx="442">
                  <c:v>-392.52210053803719</c:v>
                </c:pt>
                <c:pt idx="443">
                  <c:v>-1245.4105610449769</c:v>
                </c:pt>
                <c:pt idx="444">
                  <c:v>-1152.1667534805019</c:v>
                </c:pt>
                <c:pt idx="445">
                  <c:v>28.342623733515211</c:v>
                </c:pt>
                <c:pt idx="446">
                  <c:v>-2752.4628760284468</c:v>
                </c:pt>
                <c:pt idx="447">
                  <c:v>-6335.0295036017342</c:v>
                </c:pt>
                <c:pt idx="448">
                  <c:v>-3229.4460957507326</c:v>
                </c:pt>
                <c:pt idx="449">
                  <c:v>-3208.3878583163023</c:v>
                </c:pt>
                <c:pt idx="450">
                  <c:v>-4584.9801498437409</c:v>
                </c:pt>
                <c:pt idx="451">
                  <c:v>-2509.465837253927</c:v>
                </c:pt>
                <c:pt idx="452">
                  <c:v>-2046.4885399825998</c:v>
                </c:pt>
                <c:pt idx="453">
                  <c:v>-850.01469747434021</c:v>
                </c:pt>
                <c:pt idx="454">
                  <c:v>-1878.4174705710939</c:v>
                </c:pt>
                <c:pt idx="455">
                  <c:v>-3229.4460957507326</c:v>
                </c:pt>
                <c:pt idx="456">
                  <c:v>-3793.4026644436963</c:v>
                </c:pt>
                <c:pt idx="457">
                  <c:v>-4960.0048267227394</c:v>
                </c:pt>
                <c:pt idx="458">
                  <c:v>-4234.5398678909114</c:v>
                </c:pt>
                <c:pt idx="459">
                  <c:v>-588.11537914063956</c:v>
                </c:pt>
                <c:pt idx="460">
                  <c:v>-2554.0304906768943</c:v>
                </c:pt>
                <c:pt idx="461">
                  <c:v>-2935.6178468285361</c:v>
                </c:pt>
                <c:pt idx="462">
                  <c:v>-1762.6504203088116</c:v>
                </c:pt>
                <c:pt idx="463">
                  <c:v>-4577.8330292133796</c:v>
                </c:pt>
                <c:pt idx="464">
                  <c:v>-594.18842270246387</c:v>
                </c:pt>
                <c:pt idx="465">
                  <c:v>-1229.643510782691</c:v>
                </c:pt>
                <c:pt idx="466">
                  <c:v>739.50553756643785</c:v>
                </c:pt>
                <c:pt idx="467">
                  <c:v>4801.2113427372606</c:v>
                </c:pt>
                <c:pt idx="468">
                  <c:v>1770.5539042492674</c:v>
                </c:pt>
                <c:pt idx="469">
                  <c:v>-431.11241791515931</c:v>
                </c:pt>
                <c:pt idx="470">
                  <c:v>822.4630933345652</c:v>
                </c:pt>
                <c:pt idx="471">
                  <c:v>-2726.7056965177617</c:v>
                </c:pt>
                <c:pt idx="472">
                  <c:v>2288.8678405816463</c:v>
                </c:pt>
                <c:pt idx="473">
                  <c:v>6323.7345854350715</c:v>
                </c:pt>
                <c:pt idx="474">
                  <c:v>-3519.945602213149</c:v>
                </c:pt>
                <c:pt idx="475">
                  <c:v>1642.3485461844757</c:v>
                </c:pt>
                <c:pt idx="476">
                  <c:v>-106.918951183834</c:v>
                </c:pt>
                <c:pt idx="477">
                  <c:v>1111.8885227284482</c:v>
                </c:pt>
                <c:pt idx="478">
                  <c:v>-2824.4510311265294</c:v>
                </c:pt>
                <c:pt idx="479">
                  <c:v>-698.69385161584432</c:v>
                </c:pt>
                <c:pt idx="480">
                  <c:v>-1350.3108200222814</c:v>
                </c:pt>
                <c:pt idx="481">
                  <c:v>-3500.4588812962538</c:v>
                </c:pt>
                <c:pt idx="482">
                  <c:v>-2893.9949095395896</c:v>
                </c:pt>
                <c:pt idx="483">
                  <c:v>-2854.3266132248391</c:v>
                </c:pt>
                <c:pt idx="484">
                  <c:v>-1280.182500251507</c:v>
                </c:pt>
                <c:pt idx="485">
                  <c:v>-3302.3187166235584</c:v>
                </c:pt>
                <c:pt idx="486">
                  <c:v>-1222.1015600883984</c:v>
                </c:pt>
                <c:pt idx="487">
                  <c:v>-3075.7757788541094</c:v>
                </c:pt>
                <c:pt idx="488">
                  <c:v>-2195.9495505137893</c:v>
                </c:pt>
                <c:pt idx="489">
                  <c:v>-4781.1578698040648</c:v>
                </c:pt>
                <c:pt idx="490">
                  <c:v>1743.6239401540624</c:v>
                </c:pt>
                <c:pt idx="491">
                  <c:v>-3786.4490569762092</c:v>
                </c:pt>
                <c:pt idx="492">
                  <c:v>-1770.682006713927</c:v>
                </c:pt>
                <c:pt idx="493">
                  <c:v>-1343.7481407496343</c:v>
                </c:pt>
                <c:pt idx="494">
                  <c:v>2857.329838187994</c:v>
                </c:pt>
                <c:pt idx="495">
                  <c:v>5267.0277467575361</c:v>
                </c:pt>
                <c:pt idx="496">
                  <c:v>5230.2024590608235</c:v>
                </c:pt>
                <c:pt idx="497">
                  <c:v>-2858.1449913954348</c:v>
                </c:pt>
                <c:pt idx="498">
                  <c:v>-1079.2032288298651</c:v>
                </c:pt>
                <c:pt idx="499">
                  <c:v>-2708.0956376374452</c:v>
                </c:pt>
                <c:pt idx="500">
                  <c:v>-4139.6336400310975</c:v>
                </c:pt>
                <c:pt idx="501">
                  <c:v>-2966.8636285433313</c:v>
                </c:pt>
                <c:pt idx="502">
                  <c:v>-5327.3927472605465</c:v>
                </c:pt>
                <c:pt idx="503">
                  <c:v>-5295.5625241880371</c:v>
                </c:pt>
                <c:pt idx="504">
                  <c:v>-6397.5210670313245</c:v>
                </c:pt>
                <c:pt idx="505">
                  <c:v>-15167.451971770137</c:v>
                </c:pt>
              </c:numCache>
            </c:numRef>
          </c:yVal>
          <c:smooth val="0"/>
          <c:extLst>
            <c:ext xmlns:c16="http://schemas.microsoft.com/office/drawing/2014/chart" uri="{C3380CC4-5D6E-409C-BE32-E72D297353CC}">
              <c16:uniqueId val="{00000003-0410-4650-B31B-4AC961A6084C}"/>
            </c:ext>
          </c:extLst>
        </c:ser>
        <c:dLbls>
          <c:showLegendKey val="0"/>
          <c:showVal val="0"/>
          <c:showCatName val="0"/>
          <c:showSerName val="0"/>
          <c:showPercent val="0"/>
          <c:showBubbleSize val="0"/>
        </c:dLbls>
        <c:axId val="504371871"/>
        <c:axId val="504386271"/>
      </c:scatterChart>
      <c:valAx>
        <c:axId val="504371871"/>
        <c:scaling>
          <c:orientation val="minMax"/>
        </c:scaling>
        <c:delete val="0"/>
        <c:axPos val="b"/>
        <c:title>
          <c:tx>
            <c:rich>
              <a:bodyPr/>
              <a:lstStyle/>
              <a:p>
                <a:pPr>
                  <a:defRPr/>
                </a:pPr>
                <a:r>
                  <a:rPr lang="en-IN"/>
                  <a:t>LSTAT</a:t>
                </a:r>
              </a:p>
            </c:rich>
          </c:tx>
          <c:overlay val="0"/>
        </c:title>
        <c:numFmt formatCode="0.00\%" sourceLinked="1"/>
        <c:majorTickMark val="out"/>
        <c:minorTickMark val="none"/>
        <c:tickLblPos val="nextTo"/>
        <c:crossAx val="504386271"/>
        <c:crosses val="autoZero"/>
        <c:crossBetween val="midCat"/>
      </c:valAx>
      <c:valAx>
        <c:axId val="504386271"/>
        <c:scaling>
          <c:orientation val="minMax"/>
        </c:scaling>
        <c:delete val="0"/>
        <c:axPos val="l"/>
        <c:title>
          <c:tx>
            <c:rich>
              <a:bodyPr/>
              <a:lstStyle/>
              <a:p>
                <a:pPr>
                  <a:defRPr/>
                </a:pPr>
                <a:r>
                  <a:rPr lang="en-IN"/>
                  <a:t>Residuals</a:t>
                </a:r>
              </a:p>
            </c:rich>
          </c:tx>
          <c:overlay val="0"/>
        </c:title>
        <c:numFmt formatCode="General" sourceLinked="1"/>
        <c:majorTickMark val="out"/>
        <c:minorTickMark val="none"/>
        <c:tickLblPos val="nextTo"/>
        <c:crossAx val="50437187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LSTAT  Residual Plot</a:t>
            </a:r>
          </a:p>
        </c:rich>
      </c:tx>
      <c:layout>
        <c:manualLayout>
          <c:xMode val="edge"/>
          <c:yMode val="edge"/>
          <c:x val="0.23414916885389331"/>
          <c:y val="4.5977011494252873E-2"/>
        </c:manualLayout>
      </c:layout>
      <c:overlay val="0"/>
    </c:title>
    <c:autoTitleDeleted val="0"/>
    <c:plotArea>
      <c:layout/>
      <c:scatterChart>
        <c:scatterStyle val="lineMarker"/>
        <c:varyColors val="0"/>
        <c:ser>
          <c:idx val="0"/>
          <c:order val="0"/>
          <c:spPr>
            <a:ln w="19050">
              <a:noFill/>
            </a:ln>
          </c:spPr>
          <c:xVal>
            <c:numRef>
              <c:f>'regression data'!$E$2:$E$507</c:f>
              <c:numCache>
                <c:formatCode>0.00\%</c:formatCode>
                <c:ptCount val="506"/>
                <c:pt idx="0">
                  <c:v>4.9800000000000004</c:v>
                </c:pt>
                <c:pt idx="1">
                  <c:v>9.14</c:v>
                </c:pt>
                <c:pt idx="2">
                  <c:v>4.03</c:v>
                </c:pt>
                <c:pt idx="3">
                  <c:v>2.94</c:v>
                </c:pt>
                <c:pt idx="4">
                  <c:v>5.33</c:v>
                </c:pt>
                <c:pt idx="5">
                  <c:v>5.21</c:v>
                </c:pt>
                <c:pt idx="6">
                  <c:v>12.43</c:v>
                </c:pt>
                <c:pt idx="7">
                  <c:v>19.149999999999999</c:v>
                </c:pt>
                <c:pt idx="8">
                  <c:v>29.93</c:v>
                </c:pt>
                <c:pt idx="9">
                  <c:v>17.100000000000001</c:v>
                </c:pt>
                <c:pt idx="10">
                  <c:v>20.45</c:v>
                </c:pt>
                <c:pt idx="11">
                  <c:v>13.27</c:v>
                </c:pt>
                <c:pt idx="12">
                  <c:v>15.71</c:v>
                </c:pt>
                <c:pt idx="13">
                  <c:v>8.26</c:v>
                </c:pt>
                <c:pt idx="14">
                  <c:v>10.26</c:v>
                </c:pt>
                <c:pt idx="15">
                  <c:v>8.4700000000000006</c:v>
                </c:pt>
                <c:pt idx="16">
                  <c:v>6.58</c:v>
                </c:pt>
                <c:pt idx="17">
                  <c:v>14.67</c:v>
                </c:pt>
                <c:pt idx="18">
                  <c:v>11.69</c:v>
                </c:pt>
                <c:pt idx="19">
                  <c:v>11.28</c:v>
                </c:pt>
                <c:pt idx="20">
                  <c:v>21.02</c:v>
                </c:pt>
                <c:pt idx="21">
                  <c:v>13.83</c:v>
                </c:pt>
                <c:pt idx="22">
                  <c:v>18.72</c:v>
                </c:pt>
                <c:pt idx="23">
                  <c:v>19.88</c:v>
                </c:pt>
                <c:pt idx="24">
                  <c:v>16.3</c:v>
                </c:pt>
                <c:pt idx="25">
                  <c:v>16.510000000000002</c:v>
                </c:pt>
                <c:pt idx="26">
                  <c:v>14.81</c:v>
                </c:pt>
                <c:pt idx="27">
                  <c:v>17.28</c:v>
                </c:pt>
                <c:pt idx="28">
                  <c:v>12.8</c:v>
                </c:pt>
                <c:pt idx="29">
                  <c:v>11.98</c:v>
                </c:pt>
                <c:pt idx="30">
                  <c:v>22.6</c:v>
                </c:pt>
                <c:pt idx="31">
                  <c:v>13.04</c:v>
                </c:pt>
                <c:pt idx="32">
                  <c:v>27.71</c:v>
                </c:pt>
                <c:pt idx="33">
                  <c:v>18.350000000000001</c:v>
                </c:pt>
                <c:pt idx="34">
                  <c:v>20.34</c:v>
                </c:pt>
                <c:pt idx="35">
                  <c:v>9.68</c:v>
                </c:pt>
                <c:pt idx="36">
                  <c:v>11.41</c:v>
                </c:pt>
                <c:pt idx="37">
                  <c:v>8.77</c:v>
                </c:pt>
                <c:pt idx="38">
                  <c:v>10.130000000000001</c:v>
                </c:pt>
                <c:pt idx="39">
                  <c:v>4.32</c:v>
                </c:pt>
                <c:pt idx="40">
                  <c:v>1.98</c:v>
                </c:pt>
                <c:pt idx="41">
                  <c:v>4.84</c:v>
                </c:pt>
                <c:pt idx="42">
                  <c:v>5.81</c:v>
                </c:pt>
                <c:pt idx="43">
                  <c:v>7.44</c:v>
                </c:pt>
                <c:pt idx="44">
                  <c:v>9.5500000000000007</c:v>
                </c:pt>
                <c:pt idx="45">
                  <c:v>10.210000000000001</c:v>
                </c:pt>
                <c:pt idx="46">
                  <c:v>14.15</c:v>
                </c:pt>
                <c:pt idx="47">
                  <c:v>18.8</c:v>
                </c:pt>
                <c:pt idx="48">
                  <c:v>30.81</c:v>
                </c:pt>
                <c:pt idx="49">
                  <c:v>16.2</c:v>
                </c:pt>
                <c:pt idx="50">
                  <c:v>13.45</c:v>
                </c:pt>
                <c:pt idx="51">
                  <c:v>9.43</c:v>
                </c:pt>
                <c:pt idx="52">
                  <c:v>5.28</c:v>
                </c:pt>
                <c:pt idx="53">
                  <c:v>8.43</c:v>
                </c:pt>
                <c:pt idx="54">
                  <c:v>14.8</c:v>
                </c:pt>
                <c:pt idx="55">
                  <c:v>4.8099999999999996</c:v>
                </c:pt>
                <c:pt idx="56">
                  <c:v>5.77</c:v>
                </c:pt>
                <c:pt idx="57">
                  <c:v>3.95</c:v>
                </c:pt>
                <c:pt idx="58">
                  <c:v>6.86</c:v>
                </c:pt>
                <c:pt idx="59">
                  <c:v>9.2200000000000006</c:v>
                </c:pt>
                <c:pt idx="60">
                  <c:v>13.15</c:v>
                </c:pt>
                <c:pt idx="61">
                  <c:v>14.44</c:v>
                </c:pt>
                <c:pt idx="62">
                  <c:v>6.73</c:v>
                </c:pt>
                <c:pt idx="63">
                  <c:v>9.5</c:v>
                </c:pt>
                <c:pt idx="64">
                  <c:v>8.0500000000000007</c:v>
                </c:pt>
                <c:pt idx="65">
                  <c:v>4.67</c:v>
                </c:pt>
                <c:pt idx="66">
                  <c:v>10.24</c:v>
                </c:pt>
                <c:pt idx="67">
                  <c:v>8.1</c:v>
                </c:pt>
                <c:pt idx="68">
                  <c:v>13.09</c:v>
                </c:pt>
                <c:pt idx="69">
                  <c:v>8.7899999999999991</c:v>
                </c:pt>
                <c:pt idx="70">
                  <c:v>6.72</c:v>
                </c:pt>
                <c:pt idx="71">
                  <c:v>9.8800000000000008</c:v>
                </c:pt>
                <c:pt idx="72">
                  <c:v>5.52</c:v>
                </c:pt>
                <c:pt idx="73">
                  <c:v>7.54</c:v>
                </c:pt>
                <c:pt idx="74">
                  <c:v>6.78</c:v>
                </c:pt>
                <c:pt idx="75">
                  <c:v>8.94</c:v>
                </c:pt>
                <c:pt idx="76">
                  <c:v>11.97</c:v>
                </c:pt>
                <c:pt idx="77">
                  <c:v>10.27</c:v>
                </c:pt>
                <c:pt idx="78">
                  <c:v>12.34</c:v>
                </c:pt>
                <c:pt idx="79">
                  <c:v>9.1</c:v>
                </c:pt>
                <c:pt idx="80">
                  <c:v>5.29</c:v>
                </c:pt>
                <c:pt idx="81">
                  <c:v>7.22</c:v>
                </c:pt>
                <c:pt idx="82">
                  <c:v>6.72</c:v>
                </c:pt>
                <c:pt idx="83">
                  <c:v>7.51</c:v>
                </c:pt>
                <c:pt idx="84">
                  <c:v>9.6199999999999992</c:v>
                </c:pt>
                <c:pt idx="85">
                  <c:v>6.53</c:v>
                </c:pt>
                <c:pt idx="86">
                  <c:v>12.86</c:v>
                </c:pt>
                <c:pt idx="87">
                  <c:v>8.44</c:v>
                </c:pt>
                <c:pt idx="88">
                  <c:v>5.5</c:v>
                </c:pt>
                <c:pt idx="89">
                  <c:v>5.7</c:v>
                </c:pt>
                <c:pt idx="90">
                  <c:v>8.81</c:v>
                </c:pt>
                <c:pt idx="91">
                  <c:v>8.1999999999999993</c:v>
                </c:pt>
                <c:pt idx="92">
                  <c:v>8.16</c:v>
                </c:pt>
                <c:pt idx="93">
                  <c:v>6.21</c:v>
                </c:pt>
                <c:pt idx="94">
                  <c:v>10.59</c:v>
                </c:pt>
                <c:pt idx="95">
                  <c:v>6.65</c:v>
                </c:pt>
                <c:pt idx="96">
                  <c:v>11.34</c:v>
                </c:pt>
                <c:pt idx="97">
                  <c:v>4.21</c:v>
                </c:pt>
                <c:pt idx="98">
                  <c:v>3.57</c:v>
                </c:pt>
                <c:pt idx="99">
                  <c:v>6.19</c:v>
                </c:pt>
                <c:pt idx="100">
                  <c:v>9.42</c:v>
                </c:pt>
                <c:pt idx="101">
                  <c:v>7.67</c:v>
                </c:pt>
                <c:pt idx="102">
                  <c:v>10.63</c:v>
                </c:pt>
                <c:pt idx="103">
                  <c:v>13.44</c:v>
                </c:pt>
                <c:pt idx="104">
                  <c:v>12.33</c:v>
                </c:pt>
                <c:pt idx="105">
                  <c:v>16.47</c:v>
                </c:pt>
                <c:pt idx="106">
                  <c:v>18.66</c:v>
                </c:pt>
                <c:pt idx="107">
                  <c:v>14.09</c:v>
                </c:pt>
                <c:pt idx="108">
                  <c:v>12.27</c:v>
                </c:pt>
                <c:pt idx="109">
                  <c:v>15.55</c:v>
                </c:pt>
                <c:pt idx="110">
                  <c:v>13</c:v>
                </c:pt>
                <c:pt idx="111">
                  <c:v>10.16</c:v>
                </c:pt>
                <c:pt idx="112">
                  <c:v>16.21</c:v>
                </c:pt>
                <c:pt idx="113">
                  <c:v>17.09</c:v>
                </c:pt>
                <c:pt idx="114">
                  <c:v>10.45</c:v>
                </c:pt>
                <c:pt idx="115">
                  <c:v>15.76</c:v>
                </c:pt>
                <c:pt idx="116">
                  <c:v>12.04</c:v>
                </c:pt>
                <c:pt idx="117">
                  <c:v>10.3</c:v>
                </c:pt>
                <c:pt idx="118">
                  <c:v>15.37</c:v>
                </c:pt>
                <c:pt idx="119">
                  <c:v>13.61</c:v>
                </c:pt>
                <c:pt idx="120">
                  <c:v>14.37</c:v>
                </c:pt>
                <c:pt idx="121">
                  <c:v>14.27</c:v>
                </c:pt>
                <c:pt idx="122">
                  <c:v>17.93</c:v>
                </c:pt>
                <c:pt idx="123">
                  <c:v>25.41</c:v>
                </c:pt>
                <c:pt idx="124">
                  <c:v>17.579999999999998</c:v>
                </c:pt>
                <c:pt idx="125">
                  <c:v>14.81</c:v>
                </c:pt>
                <c:pt idx="126">
                  <c:v>27.26</c:v>
                </c:pt>
                <c:pt idx="127">
                  <c:v>17.190000000000001</c:v>
                </c:pt>
                <c:pt idx="128">
                  <c:v>15.39</c:v>
                </c:pt>
                <c:pt idx="129">
                  <c:v>18.34</c:v>
                </c:pt>
                <c:pt idx="130">
                  <c:v>12.6</c:v>
                </c:pt>
                <c:pt idx="131">
                  <c:v>12.26</c:v>
                </c:pt>
                <c:pt idx="132">
                  <c:v>11.12</c:v>
                </c:pt>
                <c:pt idx="133">
                  <c:v>15.03</c:v>
                </c:pt>
                <c:pt idx="134">
                  <c:v>17.309999999999999</c:v>
                </c:pt>
                <c:pt idx="135">
                  <c:v>16.96</c:v>
                </c:pt>
                <c:pt idx="136">
                  <c:v>16.899999999999999</c:v>
                </c:pt>
                <c:pt idx="137">
                  <c:v>14.59</c:v>
                </c:pt>
                <c:pt idx="138">
                  <c:v>21.32</c:v>
                </c:pt>
                <c:pt idx="139">
                  <c:v>18.46</c:v>
                </c:pt>
                <c:pt idx="140">
                  <c:v>24.16</c:v>
                </c:pt>
                <c:pt idx="141">
                  <c:v>34.409999999999997</c:v>
                </c:pt>
                <c:pt idx="142">
                  <c:v>26.82</c:v>
                </c:pt>
                <c:pt idx="143">
                  <c:v>26.42</c:v>
                </c:pt>
                <c:pt idx="144">
                  <c:v>29.29</c:v>
                </c:pt>
                <c:pt idx="145">
                  <c:v>27.8</c:v>
                </c:pt>
                <c:pt idx="146">
                  <c:v>16.649999999999999</c:v>
                </c:pt>
                <c:pt idx="147">
                  <c:v>29.53</c:v>
                </c:pt>
                <c:pt idx="148">
                  <c:v>28.32</c:v>
                </c:pt>
                <c:pt idx="149">
                  <c:v>21.45</c:v>
                </c:pt>
                <c:pt idx="150">
                  <c:v>14.1</c:v>
                </c:pt>
                <c:pt idx="151">
                  <c:v>13.28</c:v>
                </c:pt>
                <c:pt idx="152">
                  <c:v>12.12</c:v>
                </c:pt>
                <c:pt idx="153">
                  <c:v>15.79</c:v>
                </c:pt>
                <c:pt idx="154">
                  <c:v>15.12</c:v>
                </c:pt>
                <c:pt idx="155">
                  <c:v>15.02</c:v>
                </c:pt>
                <c:pt idx="156">
                  <c:v>16.14</c:v>
                </c:pt>
                <c:pt idx="157">
                  <c:v>4.59</c:v>
                </c:pt>
                <c:pt idx="158">
                  <c:v>6.43</c:v>
                </c:pt>
                <c:pt idx="159">
                  <c:v>7.39</c:v>
                </c:pt>
                <c:pt idx="160">
                  <c:v>5.5</c:v>
                </c:pt>
                <c:pt idx="161">
                  <c:v>1.73</c:v>
                </c:pt>
                <c:pt idx="162">
                  <c:v>1.92</c:v>
                </c:pt>
                <c:pt idx="163">
                  <c:v>3.32</c:v>
                </c:pt>
                <c:pt idx="164">
                  <c:v>11.64</c:v>
                </c:pt>
                <c:pt idx="165">
                  <c:v>9.81</c:v>
                </c:pt>
                <c:pt idx="166">
                  <c:v>3.7</c:v>
                </c:pt>
                <c:pt idx="167">
                  <c:v>12.14</c:v>
                </c:pt>
                <c:pt idx="168">
                  <c:v>11.1</c:v>
                </c:pt>
                <c:pt idx="169">
                  <c:v>11.32</c:v>
                </c:pt>
                <c:pt idx="170">
                  <c:v>14.43</c:v>
                </c:pt>
                <c:pt idx="171">
                  <c:v>12.03</c:v>
                </c:pt>
                <c:pt idx="172">
                  <c:v>14.69</c:v>
                </c:pt>
                <c:pt idx="173">
                  <c:v>9.0399999999999991</c:v>
                </c:pt>
                <c:pt idx="174">
                  <c:v>9.64</c:v>
                </c:pt>
                <c:pt idx="175">
                  <c:v>5.33</c:v>
                </c:pt>
                <c:pt idx="176">
                  <c:v>10.11</c:v>
                </c:pt>
                <c:pt idx="177">
                  <c:v>6.29</c:v>
                </c:pt>
                <c:pt idx="178">
                  <c:v>6.92</c:v>
                </c:pt>
                <c:pt idx="179">
                  <c:v>5.04</c:v>
                </c:pt>
                <c:pt idx="180">
                  <c:v>7.56</c:v>
                </c:pt>
                <c:pt idx="181">
                  <c:v>9.4499999999999993</c:v>
                </c:pt>
                <c:pt idx="182">
                  <c:v>4.82</c:v>
                </c:pt>
                <c:pt idx="183">
                  <c:v>5.68</c:v>
                </c:pt>
                <c:pt idx="184">
                  <c:v>13.98</c:v>
                </c:pt>
                <c:pt idx="185">
                  <c:v>13.15</c:v>
                </c:pt>
                <c:pt idx="186">
                  <c:v>4.45</c:v>
                </c:pt>
                <c:pt idx="187">
                  <c:v>6.68</c:v>
                </c:pt>
                <c:pt idx="188">
                  <c:v>4.5599999999999996</c:v>
                </c:pt>
                <c:pt idx="189">
                  <c:v>5.39</c:v>
                </c:pt>
                <c:pt idx="190">
                  <c:v>5.0999999999999996</c:v>
                </c:pt>
                <c:pt idx="191">
                  <c:v>4.6900000000000004</c:v>
                </c:pt>
                <c:pt idx="192">
                  <c:v>2.87</c:v>
                </c:pt>
                <c:pt idx="193">
                  <c:v>5.03</c:v>
                </c:pt>
                <c:pt idx="194">
                  <c:v>4.38</c:v>
                </c:pt>
                <c:pt idx="195">
                  <c:v>2.97</c:v>
                </c:pt>
                <c:pt idx="196">
                  <c:v>4.08</c:v>
                </c:pt>
                <c:pt idx="197">
                  <c:v>8.61</c:v>
                </c:pt>
                <c:pt idx="198">
                  <c:v>6.62</c:v>
                </c:pt>
                <c:pt idx="199">
                  <c:v>4.5599999999999996</c:v>
                </c:pt>
                <c:pt idx="200">
                  <c:v>4.45</c:v>
                </c:pt>
                <c:pt idx="201">
                  <c:v>7.43</c:v>
                </c:pt>
                <c:pt idx="202">
                  <c:v>3.11</c:v>
                </c:pt>
                <c:pt idx="203">
                  <c:v>3.81</c:v>
                </c:pt>
                <c:pt idx="204">
                  <c:v>2.88</c:v>
                </c:pt>
                <c:pt idx="205">
                  <c:v>10.87</c:v>
                </c:pt>
                <c:pt idx="206">
                  <c:v>10.97</c:v>
                </c:pt>
                <c:pt idx="207">
                  <c:v>18.059999999999999</c:v>
                </c:pt>
                <c:pt idx="208">
                  <c:v>14.66</c:v>
                </c:pt>
                <c:pt idx="209">
                  <c:v>23.09</c:v>
                </c:pt>
                <c:pt idx="210">
                  <c:v>17.27</c:v>
                </c:pt>
                <c:pt idx="211">
                  <c:v>23.98</c:v>
                </c:pt>
                <c:pt idx="212">
                  <c:v>16.03</c:v>
                </c:pt>
                <c:pt idx="213">
                  <c:v>9.3800000000000008</c:v>
                </c:pt>
                <c:pt idx="214">
                  <c:v>29.55</c:v>
                </c:pt>
                <c:pt idx="215">
                  <c:v>9.4700000000000006</c:v>
                </c:pt>
                <c:pt idx="216">
                  <c:v>13.51</c:v>
                </c:pt>
                <c:pt idx="217">
                  <c:v>9.69</c:v>
                </c:pt>
                <c:pt idx="218">
                  <c:v>17.920000000000002</c:v>
                </c:pt>
                <c:pt idx="219">
                  <c:v>10.5</c:v>
                </c:pt>
                <c:pt idx="220">
                  <c:v>9.7100000000000009</c:v>
                </c:pt>
                <c:pt idx="221">
                  <c:v>21.46</c:v>
                </c:pt>
                <c:pt idx="222">
                  <c:v>9.93</c:v>
                </c:pt>
                <c:pt idx="223">
                  <c:v>7.6</c:v>
                </c:pt>
                <c:pt idx="224">
                  <c:v>4.1399999999999997</c:v>
                </c:pt>
                <c:pt idx="225">
                  <c:v>4.63</c:v>
                </c:pt>
                <c:pt idx="226">
                  <c:v>3.13</c:v>
                </c:pt>
                <c:pt idx="227">
                  <c:v>6.36</c:v>
                </c:pt>
                <c:pt idx="228">
                  <c:v>3.92</c:v>
                </c:pt>
                <c:pt idx="229">
                  <c:v>3.76</c:v>
                </c:pt>
                <c:pt idx="230">
                  <c:v>11.65</c:v>
                </c:pt>
                <c:pt idx="231">
                  <c:v>5.25</c:v>
                </c:pt>
                <c:pt idx="232">
                  <c:v>2.4700000000000002</c:v>
                </c:pt>
                <c:pt idx="233">
                  <c:v>3.95</c:v>
                </c:pt>
                <c:pt idx="234">
                  <c:v>8.0500000000000007</c:v>
                </c:pt>
                <c:pt idx="235">
                  <c:v>10.88</c:v>
                </c:pt>
                <c:pt idx="236">
                  <c:v>9.5399999999999991</c:v>
                </c:pt>
                <c:pt idx="237">
                  <c:v>4.7300000000000004</c:v>
                </c:pt>
                <c:pt idx="238">
                  <c:v>6.36</c:v>
                </c:pt>
                <c:pt idx="239">
                  <c:v>7.37</c:v>
                </c:pt>
                <c:pt idx="240">
                  <c:v>11.38</c:v>
                </c:pt>
                <c:pt idx="241">
                  <c:v>12.4</c:v>
                </c:pt>
                <c:pt idx="242">
                  <c:v>11.22</c:v>
                </c:pt>
                <c:pt idx="243">
                  <c:v>5.19</c:v>
                </c:pt>
                <c:pt idx="244">
                  <c:v>12.5</c:v>
                </c:pt>
                <c:pt idx="245">
                  <c:v>18.46</c:v>
                </c:pt>
                <c:pt idx="246">
                  <c:v>9.16</c:v>
                </c:pt>
                <c:pt idx="247">
                  <c:v>10.15</c:v>
                </c:pt>
                <c:pt idx="248">
                  <c:v>9.52</c:v>
                </c:pt>
                <c:pt idx="249">
                  <c:v>6.56</c:v>
                </c:pt>
                <c:pt idx="250">
                  <c:v>5.9</c:v>
                </c:pt>
                <c:pt idx="251">
                  <c:v>3.59</c:v>
                </c:pt>
                <c:pt idx="252">
                  <c:v>3.53</c:v>
                </c:pt>
                <c:pt idx="253">
                  <c:v>3.54</c:v>
                </c:pt>
                <c:pt idx="254">
                  <c:v>6.57</c:v>
                </c:pt>
                <c:pt idx="255">
                  <c:v>9.25</c:v>
                </c:pt>
                <c:pt idx="256">
                  <c:v>3.11</c:v>
                </c:pt>
                <c:pt idx="257">
                  <c:v>5.12</c:v>
                </c:pt>
                <c:pt idx="258">
                  <c:v>7.79</c:v>
                </c:pt>
                <c:pt idx="259">
                  <c:v>6.9</c:v>
                </c:pt>
                <c:pt idx="260">
                  <c:v>9.59</c:v>
                </c:pt>
                <c:pt idx="261">
                  <c:v>7.26</c:v>
                </c:pt>
                <c:pt idx="262">
                  <c:v>5.91</c:v>
                </c:pt>
                <c:pt idx="263">
                  <c:v>11.25</c:v>
                </c:pt>
                <c:pt idx="264">
                  <c:v>8.1</c:v>
                </c:pt>
                <c:pt idx="265">
                  <c:v>10.45</c:v>
                </c:pt>
                <c:pt idx="266">
                  <c:v>14.79</c:v>
                </c:pt>
                <c:pt idx="267">
                  <c:v>7.44</c:v>
                </c:pt>
                <c:pt idx="268">
                  <c:v>3.16</c:v>
                </c:pt>
                <c:pt idx="269">
                  <c:v>13.65</c:v>
                </c:pt>
                <c:pt idx="270">
                  <c:v>13</c:v>
                </c:pt>
                <c:pt idx="271">
                  <c:v>6.59</c:v>
                </c:pt>
                <c:pt idx="272">
                  <c:v>7.73</c:v>
                </c:pt>
                <c:pt idx="273">
                  <c:v>6.58</c:v>
                </c:pt>
                <c:pt idx="274">
                  <c:v>3.53</c:v>
                </c:pt>
                <c:pt idx="275">
                  <c:v>2.98</c:v>
                </c:pt>
                <c:pt idx="276">
                  <c:v>6.05</c:v>
                </c:pt>
                <c:pt idx="277">
                  <c:v>4.16</c:v>
                </c:pt>
                <c:pt idx="278">
                  <c:v>7.19</c:v>
                </c:pt>
                <c:pt idx="279">
                  <c:v>4.8499999999999996</c:v>
                </c:pt>
                <c:pt idx="280">
                  <c:v>3.76</c:v>
                </c:pt>
                <c:pt idx="281">
                  <c:v>4.59</c:v>
                </c:pt>
                <c:pt idx="282">
                  <c:v>3.01</c:v>
                </c:pt>
                <c:pt idx="283">
                  <c:v>3.16</c:v>
                </c:pt>
                <c:pt idx="284">
                  <c:v>7.85</c:v>
                </c:pt>
                <c:pt idx="285">
                  <c:v>8.23</c:v>
                </c:pt>
                <c:pt idx="286">
                  <c:v>12.93</c:v>
                </c:pt>
                <c:pt idx="287">
                  <c:v>7.14</c:v>
                </c:pt>
                <c:pt idx="288">
                  <c:v>7.6</c:v>
                </c:pt>
                <c:pt idx="289">
                  <c:v>9.51</c:v>
                </c:pt>
                <c:pt idx="290">
                  <c:v>3.33</c:v>
                </c:pt>
                <c:pt idx="291">
                  <c:v>3.56</c:v>
                </c:pt>
                <c:pt idx="292">
                  <c:v>4.7</c:v>
                </c:pt>
                <c:pt idx="293">
                  <c:v>8.58</c:v>
                </c:pt>
                <c:pt idx="294">
                  <c:v>10.4</c:v>
                </c:pt>
                <c:pt idx="295">
                  <c:v>6.27</c:v>
                </c:pt>
                <c:pt idx="296">
                  <c:v>7.39</c:v>
                </c:pt>
                <c:pt idx="297">
                  <c:v>15.84</c:v>
                </c:pt>
                <c:pt idx="298">
                  <c:v>4.97</c:v>
                </c:pt>
                <c:pt idx="299">
                  <c:v>4.74</c:v>
                </c:pt>
                <c:pt idx="300">
                  <c:v>6.07</c:v>
                </c:pt>
                <c:pt idx="301">
                  <c:v>9.5</c:v>
                </c:pt>
                <c:pt idx="302">
                  <c:v>8.67</c:v>
                </c:pt>
                <c:pt idx="303">
                  <c:v>4.8600000000000003</c:v>
                </c:pt>
                <c:pt idx="304">
                  <c:v>6.93</c:v>
                </c:pt>
                <c:pt idx="305">
                  <c:v>8.93</c:v>
                </c:pt>
                <c:pt idx="306">
                  <c:v>6.47</c:v>
                </c:pt>
                <c:pt idx="307">
                  <c:v>7.53</c:v>
                </c:pt>
                <c:pt idx="308">
                  <c:v>4.54</c:v>
                </c:pt>
                <c:pt idx="309">
                  <c:v>9.9700000000000006</c:v>
                </c:pt>
                <c:pt idx="310">
                  <c:v>12.64</c:v>
                </c:pt>
                <c:pt idx="311">
                  <c:v>5.98</c:v>
                </c:pt>
                <c:pt idx="312">
                  <c:v>11.72</c:v>
                </c:pt>
                <c:pt idx="313">
                  <c:v>7.9</c:v>
                </c:pt>
                <c:pt idx="314">
                  <c:v>9.2799999999999994</c:v>
                </c:pt>
                <c:pt idx="315">
                  <c:v>11.5</c:v>
                </c:pt>
                <c:pt idx="316">
                  <c:v>18.329999999999998</c:v>
                </c:pt>
                <c:pt idx="317">
                  <c:v>15.94</c:v>
                </c:pt>
                <c:pt idx="318">
                  <c:v>10.36</c:v>
                </c:pt>
                <c:pt idx="319">
                  <c:v>12.73</c:v>
                </c:pt>
                <c:pt idx="320">
                  <c:v>7.2</c:v>
                </c:pt>
                <c:pt idx="321">
                  <c:v>6.87</c:v>
                </c:pt>
                <c:pt idx="322">
                  <c:v>7.7</c:v>
                </c:pt>
                <c:pt idx="323">
                  <c:v>11.74</c:v>
                </c:pt>
                <c:pt idx="324">
                  <c:v>6.12</c:v>
                </c:pt>
                <c:pt idx="325">
                  <c:v>5.08</c:v>
                </c:pt>
                <c:pt idx="326">
                  <c:v>6.15</c:v>
                </c:pt>
                <c:pt idx="327">
                  <c:v>12.79</c:v>
                </c:pt>
                <c:pt idx="328">
                  <c:v>9.9700000000000006</c:v>
                </c:pt>
                <c:pt idx="329">
                  <c:v>7.34</c:v>
                </c:pt>
                <c:pt idx="330">
                  <c:v>9.09</c:v>
                </c:pt>
                <c:pt idx="331">
                  <c:v>12.43</c:v>
                </c:pt>
                <c:pt idx="332">
                  <c:v>7.83</c:v>
                </c:pt>
                <c:pt idx="333">
                  <c:v>5.68</c:v>
                </c:pt>
                <c:pt idx="334">
                  <c:v>6.75</c:v>
                </c:pt>
                <c:pt idx="335">
                  <c:v>8.01</c:v>
                </c:pt>
                <c:pt idx="336">
                  <c:v>9.8000000000000007</c:v>
                </c:pt>
                <c:pt idx="337">
                  <c:v>10.56</c:v>
                </c:pt>
                <c:pt idx="338">
                  <c:v>8.51</c:v>
                </c:pt>
                <c:pt idx="339">
                  <c:v>9.74</c:v>
                </c:pt>
                <c:pt idx="340">
                  <c:v>9.2899999999999991</c:v>
                </c:pt>
                <c:pt idx="341">
                  <c:v>5.49</c:v>
                </c:pt>
                <c:pt idx="342">
                  <c:v>8.65</c:v>
                </c:pt>
                <c:pt idx="343">
                  <c:v>7.18</c:v>
                </c:pt>
                <c:pt idx="344">
                  <c:v>4.6100000000000003</c:v>
                </c:pt>
                <c:pt idx="345">
                  <c:v>10.53</c:v>
                </c:pt>
                <c:pt idx="346">
                  <c:v>12.67</c:v>
                </c:pt>
                <c:pt idx="347">
                  <c:v>6.36</c:v>
                </c:pt>
                <c:pt idx="348">
                  <c:v>5.99</c:v>
                </c:pt>
                <c:pt idx="349">
                  <c:v>5.89</c:v>
                </c:pt>
                <c:pt idx="350">
                  <c:v>5.98</c:v>
                </c:pt>
                <c:pt idx="351">
                  <c:v>5.49</c:v>
                </c:pt>
                <c:pt idx="352">
                  <c:v>7.79</c:v>
                </c:pt>
                <c:pt idx="353">
                  <c:v>4.5</c:v>
                </c:pt>
                <c:pt idx="354">
                  <c:v>8.0500000000000007</c:v>
                </c:pt>
                <c:pt idx="355">
                  <c:v>5.57</c:v>
                </c:pt>
                <c:pt idx="356">
                  <c:v>17.600000000000001</c:v>
                </c:pt>
                <c:pt idx="357">
                  <c:v>13.27</c:v>
                </c:pt>
                <c:pt idx="358">
                  <c:v>11.48</c:v>
                </c:pt>
                <c:pt idx="359">
                  <c:v>12.67</c:v>
                </c:pt>
                <c:pt idx="360">
                  <c:v>7.79</c:v>
                </c:pt>
                <c:pt idx="361">
                  <c:v>14.19</c:v>
                </c:pt>
                <c:pt idx="362">
                  <c:v>10.19</c:v>
                </c:pt>
                <c:pt idx="363">
                  <c:v>14.64</c:v>
                </c:pt>
                <c:pt idx="364">
                  <c:v>5.29</c:v>
                </c:pt>
                <c:pt idx="365">
                  <c:v>7.12</c:v>
                </c:pt>
                <c:pt idx="366">
                  <c:v>14</c:v>
                </c:pt>
                <c:pt idx="367">
                  <c:v>13.33</c:v>
                </c:pt>
                <c:pt idx="368">
                  <c:v>3.26</c:v>
                </c:pt>
                <c:pt idx="369">
                  <c:v>3.73</c:v>
                </c:pt>
                <c:pt idx="370">
                  <c:v>2.96</c:v>
                </c:pt>
                <c:pt idx="371">
                  <c:v>9.5299999999999994</c:v>
                </c:pt>
                <c:pt idx="372">
                  <c:v>8.8800000000000008</c:v>
                </c:pt>
                <c:pt idx="373">
                  <c:v>34.770000000000003</c:v>
                </c:pt>
                <c:pt idx="374">
                  <c:v>37.97</c:v>
                </c:pt>
                <c:pt idx="375">
                  <c:v>13.44</c:v>
                </c:pt>
                <c:pt idx="376">
                  <c:v>23.24</c:v>
                </c:pt>
                <c:pt idx="377">
                  <c:v>21.24</c:v>
                </c:pt>
                <c:pt idx="378">
                  <c:v>23.69</c:v>
                </c:pt>
                <c:pt idx="379">
                  <c:v>21.78</c:v>
                </c:pt>
                <c:pt idx="380">
                  <c:v>17.21</c:v>
                </c:pt>
                <c:pt idx="381">
                  <c:v>21.08</c:v>
                </c:pt>
                <c:pt idx="382">
                  <c:v>23.6</c:v>
                </c:pt>
                <c:pt idx="383">
                  <c:v>24.56</c:v>
                </c:pt>
                <c:pt idx="384">
                  <c:v>30.63</c:v>
                </c:pt>
                <c:pt idx="385">
                  <c:v>30.81</c:v>
                </c:pt>
                <c:pt idx="386">
                  <c:v>28.28</c:v>
                </c:pt>
                <c:pt idx="387">
                  <c:v>31.99</c:v>
                </c:pt>
                <c:pt idx="388">
                  <c:v>30.62</c:v>
                </c:pt>
                <c:pt idx="389">
                  <c:v>20.85</c:v>
                </c:pt>
                <c:pt idx="390">
                  <c:v>17.11</c:v>
                </c:pt>
                <c:pt idx="391">
                  <c:v>18.760000000000002</c:v>
                </c:pt>
                <c:pt idx="392">
                  <c:v>25.68</c:v>
                </c:pt>
                <c:pt idx="393">
                  <c:v>15.17</c:v>
                </c:pt>
                <c:pt idx="394">
                  <c:v>16.350000000000001</c:v>
                </c:pt>
                <c:pt idx="395">
                  <c:v>17.12</c:v>
                </c:pt>
                <c:pt idx="396">
                  <c:v>19.37</c:v>
                </c:pt>
                <c:pt idx="397">
                  <c:v>19.920000000000002</c:v>
                </c:pt>
                <c:pt idx="398">
                  <c:v>30.59</c:v>
                </c:pt>
                <c:pt idx="399">
                  <c:v>29.97</c:v>
                </c:pt>
                <c:pt idx="400">
                  <c:v>26.77</c:v>
                </c:pt>
                <c:pt idx="401">
                  <c:v>20.32</c:v>
                </c:pt>
                <c:pt idx="402">
                  <c:v>20.309999999999999</c:v>
                </c:pt>
                <c:pt idx="403">
                  <c:v>19.77</c:v>
                </c:pt>
                <c:pt idx="404">
                  <c:v>27.38</c:v>
                </c:pt>
                <c:pt idx="405">
                  <c:v>22.98</c:v>
                </c:pt>
                <c:pt idx="406">
                  <c:v>23.34</c:v>
                </c:pt>
                <c:pt idx="407">
                  <c:v>12.13</c:v>
                </c:pt>
                <c:pt idx="408">
                  <c:v>26.4</c:v>
                </c:pt>
                <c:pt idx="409">
                  <c:v>19.78</c:v>
                </c:pt>
                <c:pt idx="410">
                  <c:v>10.11</c:v>
                </c:pt>
                <c:pt idx="411">
                  <c:v>21.22</c:v>
                </c:pt>
                <c:pt idx="412">
                  <c:v>34.369999999999997</c:v>
                </c:pt>
                <c:pt idx="413">
                  <c:v>20.079999999999998</c:v>
                </c:pt>
                <c:pt idx="414">
                  <c:v>36.979999999999997</c:v>
                </c:pt>
                <c:pt idx="415">
                  <c:v>29.05</c:v>
                </c:pt>
                <c:pt idx="416">
                  <c:v>25.79</c:v>
                </c:pt>
                <c:pt idx="417">
                  <c:v>26.64</c:v>
                </c:pt>
                <c:pt idx="418">
                  <c:v>20.62</c:v>
                </c:pt>
                <c:pt idx="419">
                  <c:v>22.74</c:v>
                </c:pt>
                <c:pt idx="420">
                  <c:v>15.02</c:v>
                </c:pt>
                <c:pt idx="421">
                  <c:v>15.7</c:v>
                </c:pt>
                <c:pt idx="422">
                  <c:v>14.1</c:v>
                </c:pt>
                <c:pt idx="423">
                  <c:v>23.29</c:v>
                </c:pt>
                <c:pt idx="424">
                  <c:v>17.16</c:v>
                </c:pt>
                <c:pt idx="425">
                  <c:v>24.39</c:v>
                </c:pt>
                <c:pt idx="426">
                  <c:v>15.69</c:v>
                </c:pt>
                <c:pt idx="427">
                  <c:v>14.52</c:v>
                </c:pt>
                <c:pt idx="428">
                  <c:v>21.52</c:v>
                </c:pt>
                <c:pt idx="429">
                  <c:v>24.08</c:v>
                </c:pt>
                <c:pt idx="430">
                  <c:v>17.64</c:v>
                </c:pt>
                <c:pt idx="431">
                  <c:v>19.690000000000001</c:v>
                </c:pt>
                <c:pt idx="432">
                  <c:v>12.03</c:v>
                </c:pt>
                <c:pt idx="433">
                  <c:v>16.22</c:v>
                </c:pt>
                <c:pt idx="434">
                  <c:v>15.17</c:v>
                </c:pt>
                <c:pt idx="435">
                  <c:v>23.27</c:v>
                </c:pt>
                <c:pt idx="436">
                  <c:v>18.05</c:v>
                </c:pt>
                <c:pt idx="437">
                  <c:v>26.45</c:v>
                </c:pt>
                <c:pt idx="438">
                  <c:v>34.020000000000003</c:v>
                </c:pt>
                <c:pt idx="439">
                  <c:v>22.88</c:v>
                </c:pt>
                <c:pt idx="440">
                  <c:v>22.11</c:v>
                </c:pt>
                <c:pt idx="441">
                  <c:v>19.52</c:v>
                </c:pt>
                <c:pt idx="442">
                  <c:v>16.59</c:v>
                </c:pt>
                <c:pt idx="443">
                  <c:v>18.850000000000001</c:v>
                </c:pt>
                <c:pt idx="444">
                  <c:v>23.79</c:v>
                </c:pt>
                <c:pt idx="445">
                  <c:v>23.98</c:v>
                </c:pt>
                <c:pt idx="446">
                  <c:v>17.79</c:v>
                </c:pt>
                <c:pt idx="447">
                  <c:v>16.440000000000001</c:v>
                </c:pt>
                <c:pt idx="448">
                  <c:v>18.13</c:v>
                </c:pt>
                <c:pt idx="449">
                  <c:v>19.309999999999999</c:v>
                </c:pt>
                <c:pt idx="450">
                  <c:v>17.440000000000001</c:v>
                </c:pt>
                <c:pt idx="451">
                  <c:v>17.73</c:v>
                </c:pt>
                <c:pt idx="452">
                  <c:v>17.27</c:v>
                </c:pt>
                <c:pt idx="453">
                  <c:v>16.739999999999998</c:v>
                </c:pt>
                <c:pt idx="454">
                  <c:v>18.71</c:v>
                </c:pt>
                <c:pt idx="455">
                  <c:v>18.13</c:v>
                </c:pt>
                <c:pt idx="456">
                  <c:v>19.010000000000002</c:v>
                </c:pt>
                <c:pt idx="457">
                  <c:v>16.940000000000001</c:v>
                </c:pt>
                <c:pt idx="458">
                  <c:v>16.23</c:v>
                </c:pt>
                <c:pt idx="459">
                  <c:v>14.7</c:v>
                </c:pt>
                <c:pt idx="460">
                  <c:v>16.420000000000002</c:v>
                </c:pt>
                <c:pt idx="461">
                  <c:v>14.65</c:v>
                </c:pt>
                <c:pt idx="462">
                  <c:v>13.99</c:v>
                </c:pt>
                <c:pt idx="463">
                  <c:v>10.29</c:v>
                </c:pt>
                <c:pt idx="464">
                  <c:v>13.22</c:v>
                </c:pt>
                <c:pt idx="465">
                  <c:v>14.13</c:v>
                </c:pt>
                <c:pt idx="466">
                  <c:v>17.149999999999999</c:v>
                </c:pt>
                <c:pt idx="467">
                  <c:v>21.32</c:v>
                </c:pt>
                <c:pt idx="468">
                  <c:v>18.13</c:v>
                </c:pt>
                <c:pt idx="469">
                  <c:v>14.76</c:v>
                </c:pt>
                <c:pt idx="470">
                  <c:v>16.29</c:v>
                </c:pt>
                <c:pt idx="471">
                  <c:v>12.87</c:v>
                </c:pt>
                <c:pt idx="472">
                  <c:v>14.36</c:v>
                </c:pt>
                <c:pt idx="473">
                  <c:v>11.66</c:v>
                </c:pt>
                <c:pt idx="474">
                  <c:v>18.14</c:v>
                </c:pt>
                <c:pt idx="475">
                  <c:v>24.1</c:v>
                </c:pt>
                <c:pt idx="476">
                  <c:v>18.68</c:v>
                </c:pt>
                <c:pt idx="477">
                  <c:v>24.91</c:v>
                </c:pt>
                <c:pt idx="478">
                  <c:v>18.03</c:v>
                </c:pt>
                <c:pt idx="479">
                  <c:v>13.11</c:v>
                </c:pt>
                <c:pt idx="480">
                  <c:v>10.74</c:v>
                </c:pt>
                <c:pt idx="481">
                  <c:v>7.74</c:v>
                </c:pt>
                <c:pt idx="482">
                  <c:v>7.01</c:v>
                </c:pt>
                <c:pt idx="483">
                  <c:v>10.42</c:v>
                </c:pt>
                <c:pt idx="484">
                  <c:v>13.34</c:v>
                </c:pt>
                <c:pt idx="485">
                  <c:v>10.58</c:v>
                </c:pt>
                <c:pt idx="486">
                  <c:v>14.98</c:v>
                </c:pt>
                <c:pt idx="487">
                  <c:v>11.45</c:v>
                </c:pt>
                <c:pt idx="488">
                  <c:v>18.059999999999999</c:v>
                </c:pt>
                <c:pt idx="489">
                  <c:v>23.97</c:v>
                </c:pt>
                <c:pt idx="490">
                  <c:v>29.68</c:v>
                </c:pt>
                <c:pt idx="491">
                  <c:v>18.07</c:v>
                </c:pt>
                <c:pt idx="492">
                  <c:v>13.35</c:v>
                </c:pt>
                <c:pt idx="493">
                  <c:v>12.01</c:v>
                </c:pt>
                <c:pt idx="494">
                  <c:v>13.59</c:v>
                </c:pt>
                <c:pt idx="495">
                  <c:v>17.600000000000001</c:v>
                </c:pt>
                <c:pt idx="496">
                  <c:v>21.14</c:v>
                </c:pt>
                <c:pt idx="497">
                  <c:v>14.1</c:v>
                </c:pt>
                <c:pt idx="498">
                  <c:v>12.92</c:v>
                </c:pt>
                <c:pt idx="499">
                  <c:v>15.1</c:v>
                </c:pt>
                <c:pt idx="500">
                  <c:v>14.33</c:v>
                </c:pt>
                <c:pt idx="501">
                  <c:v>9.67</c:v>
                </c:pt>
                <c:pt idx="502">
                  <c:v>9.08</c:v>
                </c:pt>
                <c:pt idx="503">
                  <c:v>5.64</c:v>
                </c:pt>
                <c:pt idx="504">
                  <c:v>6.48</c:v>
                </c:pt>
                <c:pt idx="505">
                  <c:v>7.88</c:v>
                </c:pt>
              </c:numCache>
            </c:numRef>
          </c:xVal>
          <c:yVal>
            <c:numRef>
              <c:f>'Regression Q.6'!$C$26:$C$531</c:f>
              <c:numCache>
                <c:formatCode>General</c:formatCode>
                <c:ptCount val="506"/>
                <c:pt idx="0">
                  <c:v>-4941.0136806024821</c:v>
                </c:pt>
                <c:pt idx="1">
                  <c:v>-3884.2056605590769</c:v>
                </c:pt>
                <c:pt idx="2">
                  <c:v>2040.925231420304</c:v>
                </c:pt>
                <c:pt idx="3">
                  <c:v>993.48000016513834</c:v>
                </c:pt>
                <c:pt idx="4">
                  <c:v>4569.5930093424577</c:v>
                </c:pt>
                <c:pt idx="5">
                  <c:v>645.47299400246993</c:v>
                </c:pt>
                <c:pt idx="6">
                  <c:v>1612.9215446977578</c:v>
                </c:pt>
                <c:pt idx="7">
                  <c:v>9314.4034733244589</c:v>
                </c:pt>
                <c:pt idx="8">
                  <c:v>8395.3066160022427</c:v>
                </c:pt>
                <c:pt idx="9">
                  <c:v>653.49326949253737</c:v>
                </c:pt>
                <c:pt idx="10">
                  <c:v>-2994.9622289471663</c:v>
                </c:pt>
                <c:pt idx="11">
                  <c:v>-1832.2130905841659</c:v>
                </c:pt>
                <c:pt idx="12">
                  <c:v>3146.5158030918938</c:v>
                </c:pt>
                <c:pt idx="13">
                  <c:v>-3244.7410660870592</c:v>
                </c:pt>
                <c:pt idx="14">
                  <c:v>-4908.9582312962739</c:v>
                </c:pt>
                <c:pt idx="15">
                  <c:v>-3023.9451976970886</c:v>
                </c:pt>
                <c:pt idx="16">
                  <c:v>-1552.5760358364823</c:v>
                </c:pt>
                <c:pt idx="17">
                  <c:v>-2236.110450939992</c:v>
                </c:pt>
                <c:pt idx="18">
                  <c:v>1270.2784966482177</c:v>
                </c:pt>
                <c:pt idx="19">
                  <c:v>-2373.7759641470766</c:v>
                </c:pt>
                <c:pt idx="20">
                  <c:v>82.675924931578265</c:v>
                </c:pt>
                <c:pt idx="21">
                  <c:v>-548.32175209664274</c:v>
                </c:pt>
                <c:pt idx="22">
                  <c:v>-2708.9669708704241</c:v>
                </c:pt>
                <c:pt idx="23">
                  <c:v>-987.64605630050755</c:v>
                </c:pt>
                <c:pt idx="24">
                  <c:v>-2752.8103591558465</c:v>
                </c:pt>
                <c:pt idx="25">
                  <c:v>-2662.1090140552042</c:v>
                </c:pt>
                <c:pt idx="26">
                  <c:v>-2144.40281091824</c:v>
                </c:pt>
                <c:pt idx="27">
                  <c:v>-3549.9581136699926</c:v>
                </c:pt>
                <c:pt idx="28">
                  <c:v>-5110.1884680664662</c:v>
                </c:pt>
                <c:pt idx="29">
                  <c:v>-3948.889351342892</c:v>
                </c:pt>
                <c:pt idx="30">
                  <c:v>-530.95258872282102</c:v>
                </c:pt>
                <c:pt idx="31">
                  <c:v>-6700.9271504735189</c:v>
                </c:pt>
                <c:pt idx="32">
                  <c:v>2044.0337469769147</c:v>
                </c:pt>
                <c:pt idx="33">
                  <c:v>-2799.8380534483294</c:v>
                </c:pt>
                <c:pt idx="34">
                  <c:v>-3133.9862221154544</c:v>
                </c:pt>
                <c:pt idx="35">
                  <c:v>-3751.0756237110108</c:v>
                </c:pt>
                <c:pt idx="36">
                  <c:v>-1071.0752109097084</c:v>
                </c:pt>
                <c:pt idx="37">
                  <c:v>-1812.7543051732355</c:v>
                </c:pt>
                <c:pt idx="38">
                  <c:v>2169.8576232157393</c:v>
                </c:pt>
                <c:pt idx="39">
                  <c:v>1333.1340591096669</c:v>
                </c:pt>
                <c:pt idx="40">
                  <c:v>1744.351511698027</c:v>
                </c:pt>
                <c:pt idx="41">
                  <c:v>-3424.4275043422858</c:v>
                </c:pt>
                <c:pt idx="42">
                  <c:v>-1039.3723415392124</c:v>
                </c:pt>
                <c:pt idx="43">
                  <c:v>-806.3093520634211</c:v>
                </c:pt>
                <c:pt idx="44">
                  <c:v>-2227.473373032517</c:v>
                </c:pt>
                <c:pt idx="45">
                  <c:v>-1731.8339224931515</c:v>
                </c:pt>
                <c:pt idx="46">
                  <c:v>969.19996405771963</c:v>
                </c:pt>
                <c:pt idx="47">
                  <c:v>-686.96204988519457</c:v>
                </c:pt>
                <c:pt idx="48">
                  <c:v>8042.5727625031541</c:v>
                </c:pt>
                <c:pt idx="49">
                  <c:v>2623.4755383761076</c:v>
                </c:pt>
                <c:pt idx="50">
                  <c:v>-682.22834314074134</c:v>
                </c:pt>
                <c:pt idx="51">
                  <c:v>-3238.9166204212961</c:v>
                </c:pt>
                <c:pt idx="52">
                  <c:v>-3422.2397493317039</c:v>
                </c:pt>
                <c:pt idx="53">
                  <c:v>-385.18476049805031</c:v>
                </c:pt>
                <c:pt idx="54">
                  <c:v>-232.93549308592264</c:v>
                </c:pt>
                <c:pt idx="55">
                  <c:v>2915.8983011331875</c:v>
                </c:pt>
                <c:pt idx="56">
                  <c:v>-2755.3513035569995</c:v>
                </c:pt>
                <c:pt idx="57">
                  <c:v>769.51333090095795</c:v>
                </c:pt>
                <c:pt idx="58">
                  <c:v>-2242.6211789588015</c:v>
                </c:pt>
                <c:pt idx="59">
                  <c:v>-3315.9917295572886</c:v>
                </c:pt>
                <c:pt idx="60">
                  <c:v>-743.89291089126345</c:v>
                </c:pt>
                <c:pt idx="61">
                  <c:v>-3761.5779561920644</c:v>
                </c:pt>
                <c:pt idx="62">
                  <c:v>-5010.6068255392092</c:v>
                </c:pt>
                <c:pt idx="63">
                  <c:v>-1990.2793628899453</c:v>
                </c:pt>
                <c:pt idx="64">
                  <c:v>3335.8835618129669</c:v>
                </c:pt>
                <c:pt idx="65">
                  <c:v>-4188.1301886822439</c:v>
                </c:pt>
                <c:pt idx="66">
                  <c:v>-2147.5159108211665</c:v>
                </c:pt>
                <c:pt idx="67">
                  <c:v>-1385.7884526782254</c:v>
                </c:pt>
                <c:pt idx="68">
                  <c:v>-1333.5005772484437</c:v>
                </c:pt>
                <c:pt idx="69">
                  <c:v>-2078.2247179401311</c:v>
                </c:pt>
                <c:pt idx="70">
                  <c:v>-2818.3336774925228</c:v>
                </c:pt>
                <c:pt idx="71">
                  <c:v>-965.25802042360738</c:v>
                </c:pt>
                <c:pt idx="72">
                  <c:v>-3195.7983080990161</c:v>
                </c:pt>
                <c:pt idx="73">
                  <c:v>-2215.2963101064488</c:v>
                </c:pt>
                <c:pt idx="74">
                  <c:v>-2146.1427076934087</c:v>
                </c:pt>
                <c:pt idx="75">
                  <c:v>-3524.8809495224632</c:v>
                </c:pt>
                <c:pt idx="76">
                  <c:v>-2942.8716808723984</c:v>
                </c:pt>
                <c:pt idx="77">
                  <c:v>-2526.7053192646381</c:v>
                </c:pt>
                <c:pt idx="78">
                  <c:v>-1265.7440619382542</c:v>
                </c:pt>
                <c:pt idx="79">
                  <c:v>-2423.0509664967503</c:v>
                </c:pt>
                <c:pt idx="80">
                  <c:v>-1516.2903706059587</c:v>
                </c:pt>
                <c:pt idx="81">
                  <c:v>-3826.3016832064386</c:v>
                </c:pt>
                <c:pt idx="82">
                  <c:v>-1632.4330592938168</c:v>
                </c:pt>
                <c:pt idx="83">
                  <c:v>-2337.1735973555224</c:v>
                </c:pt>
                <c:pt idx="84">
                  <c:v>-1112.8404446231252</c:v>
                </c:pt>
                <c:pt idx="85">
                  <c:v>-1625.5716016625884</c:v>
                </c:pt>
                <c:pt idx="86">
                  <c:v>1473.8512644697221</c:v>
                </c:pt>
                <c:pt idx="87">
                  <c:v>-2205.4200992290062</c:v>
                </c:pt>
                <c:pt idx="88">
                  <c:v>-7207.9357560289172</c:v>
                </c:pt>
                <c:pt idx="89">
                  <c:v>-2346.2888240523243</c:v>
                </c:pt>
                <c:pt idx="90">
                  <c:v>-3075.8047589222915</c:v>
                </c:pt>
                <c:pt idx="91">
                  <c:v>-4006.5058869991735</c:v>
                </c:pt>
                <c:pt idx="92">
                  <c:v>-3320.7073757893886</c:v>
                </c:pt>
                <c:pt idx="93">
                  <c:v>-1296.4101031837017</c:v>
                </c:pt>
                <c:pt idx="94">
                  <c:v>-3076.4825425991985</c:v>
                </c:pt>
                <c:pt idx="95">
                  <c:v>276.98533836839124</c:v>
                </c:pt>
                <c:pt idx="96">
                  <c:v>-1356.5620252631634</c:v>
                </c:pt>
                <c:pt idx="97">
                  <c:v>1652.7571534307426</c:v>
                </c:pt>
                <c:pt idx="98">
                  <c:v>7610.2500276142964</c:v>
                </c:pt>
                <c:pt idx="99">
                  <c:v>751.52320900588165</c:v>
                </c:pt>
                <c:pt idx="100">
                  <c:v>636.64954982229756</c:v>
                </c:pt>
                <c:pt idx="101">
                  <c:v>-1762.5960862590982</c:v>
                </c:pt>
                <c:pt idx="102">
                  <c:v>-5845.5751347859405</c:v>
                </c:pt>
                <c:pt idx="103">
                  <c:v>-1975.1450357577414</c:v>
                </c:pt>
                <c:pt idx="104">
                  <c:v>-2041.0064262988199</c:v>
                </c:pt>
                <c:pt idx="105">
                  <c:v>1628.3100805222239</c:v>
                </c:pt>
                <c:pt idx="106">
                  <c:v>3111.4966522819086</c:v>
                </c:pt>
                <c:pt idx="107">
                  <c:v>-406.66423865569232</c:v>
                </c:pt>
                <c:pt idx="108">
                  <c:v>-3943.6478375447841</c:v>
                </c:pt>
                <c:pt idx="109">
                  <c:v>-988.48944506159023</c:v>
                </c:pt>
                <c:pt idx="110">
                  <c:v>-153.28040591668105</c:v>
                </c:pt>
                <c:pt idx="111">
                  <c:v>-3526.867827025002</c:v>
                </c:pt>
                <c:pt idx="112">
                  <c:v>445.42005858987977</c:v>
                </c:pt>
                <c:pt idx="113">
                  <c:v>-1.2716564715228742</c:v>
                </c:pt>
                <c:pt idx="114">
                  <c:v>-5291.8866493150599</c:v>
                </c:pt>
                <c:pt idx="115">
                  <c:v>-420.06301158502174</c:v>
                </c:pt>
                <c:pt idx="116">
                  <c:v>-1173.1434350886484</c:v>
                </c:pt>
                <c:pt idx="117">
                  <c:v>-3501.1547991012667</c:v>
                </c:pt>
                <c:pt idx="118">
                  <c:v>1714.725365182614</c:v>
                </c:pt>
                <c:pt idx="119">
                  <c:v>202.53980270439934</c:v>
                </c:pt>
                <c:pt idx="120">
                  <c:v>2682.5566069071574</c:v>
                </c:pt>
                <c:pt idx="121">
                  <c:v>235.61918358164985</c:v>
                </c:pt>
                <c:pt idx="122">
                  <c:v>3005.7265702416335</c:v>
                </c:pt>
                <c:pt idx="123">
                  <c:v>5145.5196487430549</c:v>
                </c:pt>
                <c:pt idx="124">
                  <c:v>1498.6737679717844</c:v>
                </c:pt>
                <c:pt idx="125">
                  <c:v>1774.198867791536</c:v>
                </c:pt>
                <c:pt idx="126">
                  <c:v>5971.9160472884723</c:v>
                </c:pt>
                <c:pt idx="127">
                  <c:v>-404.21541729682576</c:v>
                </c:pt>
                <c:pt idx="128">
                  <c:v>-3520.4139513766349</c:v>
                </c:pt>
                <c:pt idx="129">
                  <c:v>-1280.195205793234</c:v>
                </c:pt>
                <c:pt idx="130">
                  <c:v>-4250.1529794948365</c:v>
                </c:pt>
                <c:pt idx="131">
                  <c:v>-3396.0427992054174</c:v>
                </c:pt>
                <c:pt idx="132">
                  <c:v>-962.69154752320537</c:v>
                </c:pt>
                <c:pt idx="133">
                  <c:v>-248.93706924356229</c:v>
                </c:pt>
                <c:pt idx="134">
                  <c:v>-1253.1988481850713</c:v>
                </c:pt>
                <c:pt idx="135">
                  <c:v>-1922.8117201170389</c:v>
                </c:pt>
                <c:pt idx="136">
                  <c:v>-659.10154232742934</c:v>
                </c:pt>
                <c:pt idx="137">
                  <c:v>-5051.4807424116734</c:v>
                </c:pt>
                <c:pt idx="138">
                  <c:v>-1486.8207262997712</c:v>
                </c:pt>
                <c:pt idx="139">
                  <c:v>-321.83322963292449</c:v>
                </c:pt>
                <c:pt idx="140">
                  <c:v>-577.57084808112995</c:v>
                </c:pt>
                <c:pt idx="141">
                  <c:v>12291.0821998299</c:v>
                </c:pt>
                <c:pt idx="142">
                  <c:v>4459.1838569317333</c:v>
                </c:pt>
                <c:pt idx="143">
                  <c:v>6071.0793042522055</c:v>
                </c:pt>
                <c:pt idx="144">
                  <c:v>6993.2029346830059</c:v>
                </c:pt>
                <c:pt idx="145">
                  <c:v>1784.7841598783125</c:v>
                </c:pt>
                <c:pt idx="146">
                  <c:v>-1019.9276988067868</c:v>
                </c:pt>
                <c:pt idx="147">
                  <c:v>9830.1888112618544</c:v>
                </c:pt>
                <c:pt idx="148">
                  <c:v>10928.290350898955</c:v>
                </c:pt>
                <c:pt idx="149">
                  <c:v>2021.3307330794651</c:v>
                </c:pt>
                <c:pt idx="150">
                  <c:v>725.23328460843186</c:v>
                </c:pt>
                <c:pt idx="151">
                  <c:v>1956.5572232818886</c:v>
                </c:pt>
                <c:pt idx="152">
                  <c:v>-1091.4215545813786</c:v>
                </c:pt>
                <c:pt idx="153">
                  <c:v>1814.9663070120077</c:v>
                </c:pt>
                <c:pt idx="154">
                  <c:v>-3155.2247303529111</c:v>
                </c:pt>
                <c:pt idx="155">
                  <c:v>-4736.6406874170643</c:v>
                </c:pt>
                <c:pt idx="156">
                  <c:v>-2033.7859268474822</c:v>
                </c:pt>
                <c:pt idx="157">
                  <c:v>10233.584590806466</c:v>
                </c:pt>
                <c:pt idx="158">
                  <c:v>-1116.3470119211925</c:v>
                </c:pt>
                <c:pt idx="159">
                  <c:v>-3761.7688760922538</c:v>
                </c:pt>
                <c:pt idx="160">
                  <c:v>48.818748113841139</c:v>
                </c:pt>
                <c:pt idx="161">
                  <c:v>14314.685515420497</c:v>
                </c:pt>
                <c:pt idx="162">
                  <c:v>12842.064959829542</c:v>
                </c:pt>
                <c:pt idx="163">
                  <c:v>10822.053112746486</c:v>
                </c:pt>
                <c:pt idx="164">
                  <c:v>1710.4349621700676</c:v>
                </c:pt>
                <c:pt idx="165">
                  <c:v>1576.5065783721875</c:v>
                </c:pt>
                <c:pt idx="166">
                  <c:v>13338.42472077335</c:v>
                </c:pt>
                <c:pt idx="167">
                  <c:v>3014.4340056523943</c:v>
                </c:pt>
                <c:pt idx="168">
                  <c:v>94.485048961745633</c:v>
                </c:pt>
                <c:pt idx="169">
                  <c:v>-1687.0635202044796</c:v>
                </c:pt>
                <c:pt idx="170">
                  <c:v>-1904.3758329598786</c:v>
                </c:pt>
                <c:pt idx="171">
                  <c:v>-1771.5097750674686</c:v>
                </c:pt>
                <c:pt idx="172">
                  <c:v>5506.3580931975666</c:v>
                </c:pt>
                <c:pt idx="173">
                  <c:v>-1922.9675540618045</c:v>
                </c:pt>
                <c:pt idx="174">
                  <c:v>300.24435376012843</c:v>
                </c:pt>
                <c:pt idx="175">
                  <c:v>831.56058792872136</c:v>
                </c:pt>
                <c:pt idx="176">
                  <c:v>381.89190537668765</c:v>
                </c:pt>
                <c:pt idx="177">
                  <c:v>-2174.8793868151733</c:v>
                </c:pt>
                <c:pt idx="178">
                  <c:v>753.14691229521486</c:v>
                </c:pt>
                <c:pt idx="179">
                  <c:v>6234.1386857958641</c:v>
                </c:pt>
                <c:pt idx="180">
                  <c:v>6453.4731203868869</c:v>
                </c:pt>
                <c:pt idx="181">
                  <c:v>12326.18169471783</c:v>
                </c:pt>
                <c:pt idx="182">
                  <c:v>5901.2319550032626</c:v>
                </c:pt>
                <c:pt idx="183">
                  <c:v>4069.7746091804511</c:v>
                </c:pt>
                <c:pt idx="184">
                  <c:v>8187.250460385465</c:v>
                </c:pt>
                <c:pt idx="185">
                  <c:v>8057.0544395620782</c:v>
                </c:pt>
                <c:pt idx="186">
                  <c:v>14319.482693921433</c:v>
                </c:pt>
                <c:pt idx="187">
                  <c:v>3096.3743748548768</c:v>
                </c:pt>
                <c:pt idx="188">
                  <c:v>685.99679071737773</c:v>
                </c:pt>
                <c:pt idx="189">
                  <c:v>3114.5325659923183</c:v>
                </c:pt>
                <c:pt idx="190">
                  <c:v>6220.4290373962758</c:v>
                </c:pt>
                <c:pt idx="191">
                  <c:v>537.1571730355281</c:v>
                </c:pt>
                <c:pt idx="192">
                  <c:v>3031.4530795874743</c:v>
                </c:pt>
                <c:pt idx="193">
                  <c:v>1044.7769396340045</c:v>
                </c:pt>
                <c:pt idx="194">
                  <c:v>-374.17753269471723</c:v>
                </c:pt>
                <c:pt idx="195">
                  <c:v>13144.621687929313</c:v>
                </c:pt>
                <c:pt idx="196">
                  <c:v>153.37477373018919</c:v>
                </c:pt>
                <c:pt idx="197">
                  <c:v>980.31986503666849</c:v>
                </c:pt>
                <c:pt idx="198">
                  <c:v>3151.197186506648</c:v>
                </c:pt>
                <c:pt idx="199">
                  <c:v>3651.2806252803712</c:v>
                </c:pt>
                <c:pt idx="200">
                  <c:v>765.45513101966935</c:v>
                </c:pt>
                <c:pt idx="201">
                  <c:v>-1163.0883241733718</c:v>
                </c:pt>
                <c:pt idx="202">
                  <c:v>6884.6706705726683</c:v>
                </c:pt>
                <c:pt idx="203">
                  <c:v>12296.288024349786</c:v>
                </c:pt>
                <c:pt idx="204">
                  <c:v>12276.738148337827</c:v>
                </c:pt>
                <c:pt idx="205">
                  <c:v>927.31188938163541</c:v>
                </c:pt>
                <c:pt idx="206">
                  <c:v>575.31494961965655</c:v>
                </c:pt>
                <c:pt idx="207">
                  <c:v>5996.1054149052688</c:v>
                </c:pt>
                <c:pt idx="208">
                  <c:v>4280.4516548766624</c:v>
                </c:pt>
                <c:pt idx="209">
                  <c:v>8963.7797612769828</c:v>
                </c:pt>
                <c:pt idx="210">
                  <c:v>3786.8648576248452</c:v>
                </c:pt>
                <c:pt idx="211">
                  <c:v>8529.7913996940697</c:v>
                </c:pt>
                <c:pt idx="212">
                  <c:v>4469.8430847656127</c:v>
                </c:pt>
                <c:pt idx="213">
                  <c:v>3004.3205869390003</c:v>
                </c:pt>
                <c:pt idx="214">
                  <c:v>16466.969017559179</c:v>
                </c:pt>
                <c:pt idx="215">
                  <c:v>945.4269179979201</c:v>
                </c:pt>
                <c:pt idx="216">
                  <c:v>3338.4222557391477</c:v>
                </c:pt>
                <c:pt idx="217">
                  <c:v>2443.143278736814</c:v>
                </c:pt>
                <c:pt idx="218">
                  <c:v>4050.2508667425573</c:v>
                </c:pt>
                <c:pt idx="219">
                  <c:v>-1366.0485027389077</c:v>
                </c:pt>
                <c:pt idx="220">
                  <c:v>-1118.2990417382898</c:v>
                </c:pt>
                <c:pt idx="221">
                  <c:v>5439.0095293030918</c:v>
                </c:pt>
                <c:pt idx="222">
                  <c:v>189.84452666764992</c:v>
                </c:pt>
                <c:pt idx="223">
                  <c:v>2622.8892717906638</c:v>
                </c:pt>
                <c:pt idx="224">
                  <c:v>6704.1188371193493</c:v>
                </c:pt>
                <c:pt idx="225">
                  <c:v>9880.3667360885011</c:v>
                </c:pt>
                <c:pt idx="226">
                  <c:v>6.7590039928472834</c:v>
                </c:pt>
                <c:pt idx="227">
                  <c:v>549.70548586452787</c:v>
                </c:pt>
                <c:pt idx="228">
                  <c:v>11417.777034500847</c:v>
                </c:pt>
                <c:pt idx="229">
                  <c:v>1892.4892752594242</c:v>
                </c:pt>
                <c:pt idx="230">
                  <c:v>2669.820471501771</c:v>
                </c:pt>
                <c:pt idx="231">
                  <c:v>-1331.9144732462519</c:v>
                </c:pt>
                <c:pt idx="232">
                  <c:v>2169.6504720437661</c:v>
                </c:pt>
                <c:pt idx="233">
                  <c:v>10178.871725315366</c:v>
                </c:pt>
                <c:pt idx="234">
                  <c:v>1261.7134198921776</c:v>
                </c:pt>
                <c:pt idx="235">
                  <c:v>1340.2518157784507</c:v>
                </c:pt>
                <c:pt idx="236">
                  <c:v>-1197.1678035720979</c:v>
                </c:pt>
                <c:pt idx="237">
                  <c:v>-1590.8222558990237</c:v>
                </c:pt>
                <c:pt idx="238">
                  <c:v>-3875.6491088179464</c:v>
                </c:pt>
                <c:pt idx="239">
                  <c:v>-4263.7156892734492</c:v>
                </c:pt>
                <c:pt idx="240">
                  <c:v>-4470.4420723964213</c:v>
                </c:pt>
                <c:pt idx="241">
                  <c:v>-1629.2166080294992</c:v>
                </c:pt>
                <c:pt idx="242">
                  <c:v>-1627.1286823180817</c:v>
                </c:pt>
                <c:pt idx="243">
                  <c:v>-4178.8670172619604</c:v>
                </c:pt>
                <c:pt idx="244">
                  <c:v>-1507.3972064681438</c:v>
                </c:pt>
                <c:pt idx="245">
                  <c:v>3159.9210098148269</c:v>
                </c:pt>
                <c:pt idx="246">
                  <c:v>423.31014522314945</c:v>
                </c:pt>
                <c:pt idx="247">
                  <c:v>-3341.9400860268797</c:v>
                </c:pt>
                <c:pt idx="248">
                  <c:v>-801.24694935834486</c:v>
                </c:pt>
                <c:pt idx="249">
                  <c:v>-2454.6421942568777</c:v>
                </c:pt>
                <c:pt idx="250">
                  <c:v>-3501.7026704762611</c:v>
                </c:pt>
                <c:pt idx="251">
                  <c:v>-4335.9058113477076</c:v>
                </c:pt>
                <c:pt idx="252">
                  <c:v>-2218.6422752730286</c:v>
                </c:pt>
                <c:pt idx="253">
                  <c:v>4354.3673524632322</c:v>
                </c:pt>
                <c:pt idx="254">
                  <c:v>-3640.3979404691454</c:v>
                </c:pt>
                <c:pt idx="255">
                  <c:v>-1736.8867923288053</c:v>
                </c:pt>
                <c:pt idx="256">
                  <c:v>9379.4575961291775</c:v>
                </c:pt>
                <c:pt idx="257">
                  <c:v>10302.112867539188</c:v>
                </c:pt>
                <c:pt idx="258">
                  <c:v>5002.1639464964246</c:v>
                </c:pt>
                <c:pt idx="259">
                  <c:v>1032.0059293283921</c:v>
                </c:pt>
                <c:pt idx="260">
                  <c:v>4620.7313860996037</c:v>
                </c:pt>
                <c:pt idx="261">
                  <c:v>10808.988676276102</c:v>
                </c:pt>
                <c:pt idx="262">
                  <c:v>11168.58107479904</c:v>
                </c:pt>
                <c:pt idx="263">
                  <c:v>2255.2925108871277</c:v>
                </c:pt>
                <c:pt idx="264">
                  <c:v>6348.3331041228412</c:v>
                </c:pt>
                <c:pt idx="265">
                  <c:v>2543.8962118144991</c:v>
                </c:pt>
                <c:pt idx="266">
                  <c:v>5823.9096532086842</c:v>
                </c:pt>
                <c:pt idx="267">
                  <c:v>13865.962912610543</c:v>
                </c:pt>
                <c:pt idx="268">
                  <c:v>8830.0589050920025</c:v>
                </c:pt>
                <c:pt idx="269">
                  <c:v>665.31920703455762</c:v>
                </c:pt>
                <c:pt idx="270">
                  <c:v>973.85272077340778</c:v>
                </c:pt>
                <c:pt idx="271">
                  <c:v>-1000.0627877166917</c:v>
                </c:pt>
                <c:pt idx="272">
                  <c:v>-2586.021106010674</c:v>
                </c:pt>
                <c:pt idx="273">
                  <c:v>1600.9762636685409</c:v>
                </c:pt>
                <c:pt idx="274">
                  <c:v>1595.2205336099432</c:v>
                </c:pt>
                <c:pt idx="275">
                  <c:v>352.82380327935971</c:v>
                </c:pt>
                <c:pt idx="276">
                  <c:v>1420.7164518778445</c:v>
                </c:pt>
                <c:pt idx="277">
                  <c:v>2353.4607012488632</c:v>
                </c:pt>
                <c:pt idx="278">
                  <c:v>2052.4135206203428</c:v>
                </c:pt>
                <c:pt idx="279">
                  <c:v>4868.014983658024</c:v>
                </c:pt>
                <c:pt idx="280">
                  <c:v>9332.2981111206827</c:v>
                </c:pt>
                <c:pt idx="281">
                  <c:v>4206.2148911980476</c:v>
                </c:pt>
                <c:pt idx="282">
                  <c:v>10342.117257696482</c:v>
                </c:pt>
                <c:pt idx="283">
                  <c:v>13022.119948187545</c:v>
                </c:pt>
                <c:pt idx="284">
                  <c:v>2488.9285027135302</c:v>
                </c:pt>
                <c:pt idx="285">
                  <c:v>-4231.784960220004</c:v>
                </c:pt>
                <c:pt idx="286">
                  <c:v>-1976.5630687655503</c:v>
                </c:pt>
                <c:pt idx="287">
                  <c:v>-2488.8272763679852</c:v>
                </c:pt>
                <c:pt idx="288">
                  <c:v>-3633.3899689553655</c:v>
                </c:pt>
                <c:pt idx="289">
                  <c:v>-1180.1825466332157</c:v>
                </c:pt>
                <c:pt idx="290">
                  <c:v>-2958.014295625544</c:v>
                </c:pt>
                <c:pt idx="291">
                  <c:v>4527.5239697460202</c:v>
                </c:pt>
                <c:pt idx="292">
                  <c:v>-1501.0873533293452</c:v>
                </c:pt>
                <c:pt idx="293">
                  <c:v>-446.05866034084102</c:v>
                </c:pt>
                <c:pt idx="294">
                  <c:v>-875.78150986481705</c:v>
                </c:pt>
                <c:pt idx="295">
                  <c:v>-37.134591814217856</c:v>
                </c:pt>
                <c:pt idx="296">
                  <c:v>-160.4656074813829</c:v>
                </c:pt>
                <c:pt idx="297">
                  <c:v>2334.4063969929521</c:v>
                </c:pt>
                <c:pt idx="298">
                  <c:v>-5275.6360275475163</c:v>
                </c:pt>
                <c:pt idx="299">
                  <c:v>-2469.3508815219066</c:v>
                </c:pt>
                <c:pt idx="300">
                  <c:v>-4948.9003396400003</c:v>
                </c:pt>
                <c:pt idx="301">
                  <c:v>-4113.9758295840657</c:v>
                </c:pt>
                <c:pt idx="302">
                  <c:v>236.87161150527754</c:v>
                </c:pt>
                <c:pt idx="303">
                  <c:v>2008.3246096632502</c:v>
                </c:pt>
                <c:pt idx="304">
                  <c:v>5043.9302135271209</c:v>
                </c:pt>
                <c:pt idx="305">
                  <c:v>1787.4154323040311</c:v>
                </c:pt>
                <c:pt idx="306">
                  <c:v>1111.0043906568899</c:v>
                </c:pt>
                <c:pt idx="307">
                  <c:v>-498.97183598816628</c:v>
                </c:pt>
                <c:pt idx="308">
                  <c:v>-6729.3386267300921</c:v>
                </c:pt>
                <c:pt idx="309">
                  <c:v>-2363.488438169341</c:v>
                </c:pt>
                <c:pt idx="310">
                  <c:v>241.30151061469769</c:v>
                </c:pt>
                <c:pt idx="311">
                  <c:v>-3890.7163894538971</c:v>
                </c:pt>
                <c:pt idx="312">
                  <c:v>-2399.1955404432774</c:v>
                </c:pt>
                <c:pt idx="313">
                  <c:v>-3891.0378574496281</c:v>
                </c:pt>
                <c:pt idx="314">
                  <c:v>-2338.1145394780324</c:v>
                </c:pt>
                <c:pt idx="315">
                  <c:v>-4120.3717949579623</c:v>
                </c:pt>
                <c:pt idx="316">
                  <c:v>802.12493920310226</c:v>
                </c:pt>
                <c:pt idx="317">
                  <c:v>1939.4005342920573</c:v>
                </c:pt>
                <c:pt idx="318">
                  <c:v>-1401.8317613921099</c:v>
                </c:pt>
                <c:pt idx="319">
                  <c:v>-608.94454144699557</c:v>
                </c:pt>
                <c:pt idx="320">
                  <c:v>-2955.8547689143707</c:v>
                </c:pt>
                <c:pt idx="321">
                  <c:v>-3613.0936199981079</c:v>
                </c:pt>
                <c:pt idx="322">
                  <c:v>-4073.1822278227337</c:v>
                </c:pt>
                <c:pt idx="323">
                  <c:v>-1681.4901586923806</c:v>
                </c:pt>
                <c:pt idx="324">
                  <c:v>-2393.559102070325</c:v>
                </c:pt>
                <c:pt idx="325">
                  <c:v>-3543.1283774336043</c:v>
                </c:pt>
                <c:pt idx="326">
                  <c:v>-3849.5251896563386</c:v>
                </c:pt>
                <c:pt idx="327">
                  <c:v>782.44059813774948</c:v>
                </c:pt>
                <c:pt idx="328">
                  <c:v>-2833.6304877983421</c:v>
                </c:pt>
                <c:pt idx="329">
                  <c:v>-3592.1093195768917</c:v>
                </c:pt>
                <c:pt idx="330">
                  <c:v>-4305.0673056100568</c:v>
                </c:pt>
                <c:pt idx="331">
                  <c:v>-2628.073332095264</c:v>
                </c:pt>
                <c:pt idx="332">
                  <c:v>-4938.7277645276336</c:v>
                </c:pt>
                <c:pt idx="333">
                  <c:v>-4971.8127586884257</c:v>
                </c:pt>
                <c:pt idx="334">
                  <c:v>-5753.9206131411847</c:v>
                </c:pt>
                <c:pt idx="335">
                  <c:v>-3153.6719922697084</c:v>
                </c:pt>
                <c:pt idx="336">
                  <c:v>-2747.9261926041763</c:v>
                </c:pt>
                <c:pt idx="337">
                  <c:v>-3392.1983461713862</c:v>
                </c:pt>
                <c:pt idx="338">
                  <c:v>-3444.578160803052</c:v>
                </c:pt>
                <c:pt idx="339">
                  <c:v>-3877.4630988418648</c:v>
                </c:pt>
                <c:pt idx="340">
                  <c:v>-4379.912953518</c:v>
                </c:pt>
                <c:pt idx="341">
                  <c:v>693.46027229389438</c:v>
                </c:pt>
                <c:pt idx="342">
                  <c:v>-9905.2410144747482</c:v>
                </c:pt>
                <c:pt idx="343">
                  <c:v>-4244.2946913701198</c:v>
                </c:pt>
                <c:pt idx="344">
                  <c:v>497.97212841056898</c:v>
                </c:pt>
                <c:pt idx="345">
                  <c:v>-5017.7488663347649</c:v>
                </c:pt>
                <c:pt idx="346">
                  <c:v>-3352.1066248692841</c:v>
                </c:pt>
                <c:pt idx="347">
                  <c:v>-4653.9666882697202</c:v>
                </c:pt>
                <c:pt idx="348">
                  <c:v>-4097.9190420761042</c:v>
                </c:pt>
                <c:pt idx="349">
                  <c:v>-3610.9704227388247</c:v>
                </c:pt>
                <c:pt idx="350">
                  <c:v>-4965.5983676897449</c:v>
                </c:pt>
                <c:pt idx="351">
                  <c:v>-4533.7900820753166</c:v>
                </c:pt>
                <c:pt idx="352">
                  <c:v>-5015.4882641999284</c:v>
                </c:pt>
                <c:pt idx="353">
                  <c:v>71.151757356841699</c:v>
                </c:pt>
                <c:pt idx="354">
                  <c:v>-4122.5269527580749</c:v>
                </c:pt>
                <c:pt idx="355">
                  <c:v>-4706.4527414073891</c:v>
                </c:pt>
                <c:pt idx="356">
                  <c:v>-1185.0434641274041</c:v>
                </c:pt>
                <c:pt idx="357">
                  <c:v>-998.80125253806909</c:v>
                </c:pt>
                <c:pt idx="358">
                  <c:v>216.78050896713466</c:v>
                </c:pt>
                <c:pt idx="359">
                  <c:v>957.60874648269237</c:v>
                </c:pt>
                <c:pt idx="360">
                  <c:v>-1234.2092881489079</c:v>
                </c:pt>
                <c:pt idx="361">
                  <c:v>-1474.1821152890116</c:v>
                </c:pt>
                <c:pt idx="362">
                  <c:v>1385.6510658096595</c:v>
                </c:pt>
                <c:pt idx="363">
                  <c:v>-2002.6558478963816</c:v>
                </c:pt>
                <c:pt idx="364">
                  <c:v>-18075.89010244888</c:v>
                </c:pt>
                <c:pt idx="365">
                  <c:v>15289.324139470302</c:v>
                </c:pt>
                <c:pt idx="366">
                  <c:v>6965.8567250300748</c:v>
                </c:pt>
                <c:pt idx="367">
                  <c:v>13339.743423856706</c:v>
                </c:pt>
                <c:pt idx="368">
                  <c:v>28131.264699357773</c:v>
                </c:pt>
                <c:pt idx="369">
                  <c:v>19705.801299284016</c:v>
                </c:pt>
                <c:pt idx="370">
                  <c:v>17514.620983131961</c:v>
                </c:pt>
                <c:pt idx="371">
                  <c:v>25810.745626585125</c:v>
                </c:pt>
                <c:pt idx="372">
                  <c:v>27130.535411985205</c:v>
                </c:pt>
                <c:pt idx="373">
                  <c:v>12498.042242387823</c:v>
                </c:pt>
                <c:pt idx="374">
                  <c:v>18466.386083939502</c:v>
                </c:pt>
                <c:pt idx="375">
                  <c:v>-12266.615705337514</c:v>
                </c:pt>
                <c:pt idx="376">
                  <c:v>-3688.5648081455874</c:v>
                </c:pt>
                <c:pt idx="377">
                  <c:v>-6312.0257343626436</c:v>
                </c:pt>
                <c:pt idx="378">
                  <c:v>-2829.0055899491927</c:v>
                </c:pt>
                <c:pt idx="379">
                  <c:v>-6156.0282948146451</c:v>
                </c:pt>
                <c:pt idx="380">
                  <c:v>-12687.222930641041</c:v>
                </c:pt>
                <c:pt idx="381">
                  <c:v>-7546.2008597419081</c:v>
                </c:pt>
                <c:pt idx="382">
                  <c:v>-386.81678125112376</c:v>
                </c:pt>
                <c:pt idx="383">
                  <c:v>1311.3638273726247</c:v>
                </c:pt>
                <c:pt idx="384">
                  <c:v>7579.6746741901843</c:v>
                </c:pt>
                <c:pt idx="385">
                  <c:v>1464.136896592212</c:v>
                </c:pt>
                <c:pt idx="386">
                  <c:v>6323.2128011649074</c:v>
                </c:pt>
                <c:pt idx="387">
                  <c:v>3833.3760026615055</c:v>
                </c:pt>
                <c:pt idx="388">
                  <c:v>6364.7196428674397</c:v>
                </c:pt>
                <c:pt idx="389">
                  <c:v>-1209.4631547093431</c:v>
                </c:pt>
                <c:pt idx="390">
                  <c:v>-1657.4998437230897</c:v>
                </c:pt>
                <c:pt idx="391">
                  <c:v>5780.3530690739681</c:v>
                </c:pt>
                <c:pt idx="392">
                  <c:v>1896.6825461449371</c:v>
                </c:pt>
                <c:pt idx="393">
                  <c:v>-6649.1732446382412</c:v>
                </c:pt>
                <c:pt idx="394">
                  <c:v>-5432.1852870231851</c:v>
                </c:pt>
                <c:pt idx="395">
                  <c:v>-7512.925552507746</c:v>
                </c:pt>
                <c:pt idx="396">
                  <c:v>-6331.3632934922498</c:v>
                </c:pt>
                <c:pt idx="397">
                  <c:v>-6625.6957159645299</c:v>
                </c:pt>
                <c:pt idx="398">
                  <c:v>-1773.8646221847303</c:v>
                </c:pt>
                <c:pt idx="399">
                  <c:v>-2904.9471951663727</c:v>
                </c:pt>
                <c:pt idx="400">
                  <c:v>-6348.2902426330184</c:v>
                </c:pt>
                <c:pt idx="401">
                  <c:v>-10705.246020931459</c:v>
                </c:pt>
                <c:pt idx="402">
                  <c:v>-6122.4516713184275</c:v>
                </c:pt>
                <c:pt idx="403">
                  <c:v>-4894.323848335207</c:v>
                </c:pt>
                <c:pt idx="404">
                  <c:v>-733.22833788663411</c:v>
                </c:pt>
                <c:pt idx="405">
                  <c:v>-7834.012782179956</c:v>
                </c:pt>
                <c:pt idx="406">
                  <c:v>7168.68365394789</c:v>
                </c:pt>
                <c:pt idx="407">
                  <c:v>8478.5083900964855</c:v>
                </c:pt>
                <c:pt idx="408">
                  <c:v>6899.1087279011736</c:v>
                </c:pt>
                <c:pt idx="409">
                  <c:v>6654.6333945494043</c:v>
                </c:pt>
                <c:pt idx="410">
                  <c:v>-6478.1788547428005</c:v>
                </c:pt>
                <c:pt idx="411">
                  <c:v>-1726.8869471934158</c:v>
                </c:pt>
                <c:pt idx="412">
                  <c:v>17757.449968335724</c:v>
                </c:pt>
                <c:pt idx="413">
                  <c:v>4293.1961042417624</c:v>
                </c:pt>
                <c:pt idx="414">
                  <c:v>9089.337111005585</c:v>
                </c:pt>
                <c:pt idx="415">
                  <c:v>-5561.0834695548401</c:v>
                </c:pt>
                <c:pt idx="416">
                  <c:v>-9128.1578577398141</c:v>
                </c:pt>
                <c:pt idx="417">
                  <c:v>1847.9433672171035</c:v>
                </c:pt>
                <c:pt idx="418">
                  <c:v>-6945.9503587043127</c:v>
                </c:pt>
                <c:pt idx="419">
                  <c:v>-10401.331872526542</c:v>
                </c:pt>
                <c:pt idx="420">
                  <c:v>-4956.1907753602281</c:v>
                </c:pt>
                <c:pt idx="421">
                  <c:v>-4955.9979744179254</c:v>
                </c:pt>
                <c:pt idx="422">
                  <c:v>2440.1627891839598</c:v>
                </c:pt>
                <c:pt idx="423">
                  <c:v>-1374.6926519856243</c:v>
                </c:pt>
                <c:pt idx="424">
                  <c:v>-4271.3533053290776</c:v>
                </c:pt>
                <c:pt idx="425">
                  <c:v>-4713.4773715594165</c:v>
                </c:pt>
                <c:pt idx="426">
                  <c:v>-8101.402388407485</c:v>
                </c:pt>
                <c:pt idx="427">
                  <c:v>-10012.559253755957</c:v>
                </c:pt>
                <c:pt idx="428">
                  <c:v>-5370.1978221880199</c:v>
                </c:pt>
                <c:pt idx="429">
                  <c:v>-6178.4858395939846</c:v>
                </c:pt>
                <c:pt idx="430">
                  <c:v>-5152.2402966274094</c:v>
                </c:pt>
                <c:pt idx="431">
                  <c:v>-6706.377883830166</c:v>
                </c:pt>
                <c:pt idx="432">
                  <c:v>-7548.1692265308866</c:v>
                </c:pt>
                <c:pt idx="433">
                  <c:v>-6712.7304738756939</c:v>
                </c:pt>
                <c:pt idx="434">
                  <c:v>-8825.5950644032928</c:v>
                </c:pt>
                <c:pt idx="435">
                  <c:v>-4067.3982984315298</c:v>
                </c:pt>
                <c:pt idx="436">
                  <c:v>-10364.584421817344</c:v>
                </c:pt>
                <c:pt idx="437">
                  <c:v>-4294.4849270066661</c:v>
                </c:pt>
                <c:pt idx="438">
                  <c:v>1373.7366558224239</c:v>
                </c:pt>
                <c:pt idx="439">
                  <c:v>187.05951151847694</c:v>
                </c:pt>
                <c:pt idx="440">
                  <c:v>-3580.6609108577813</c:v>
                </c:pt>
                <c:pt idx="441">
                  <c:v>-1640.1043313399641</c:v>
                </c:pt>
                <c:pt idx="442">
                  <c:v>-1269.488897604333</c:v>
                </c:pt>
                <c:pt idx="443">
                  <c:v>-4172.9726660461238</c:v>
                </c:pt>
                <c:pt idx="444">
                  <c:v>-2384.9112767637598</c:v>
                </c:pt>
                <c:pt idx="445">
                  <c:v>-4345.2099237809853</c:v>
                </c:pt>
                <c:pt idx="446">
                  <c:v>-4620.2230306004349</c:v>
                </c:pt>
                <c:pt idx="447">
                  <c:v>-7328.8758632397221</c:v>
                </c:pt>
                <c:pt idx="448">
                  <c:v>-4407.0342714009239</c:v>
                </c:pt>
                <c:pt idx="449">
                  <c:v>-5931.0422493589358</c:v>
                </c:pt>
                <c:pt idx="450">
                  <c:v>-8423.721945195186</c:v>
                </c:pt>
                <c:pt idx="451">
                  <c:v>-5958.5279577367619</c:v>
                </c:pt>
                <c:pt idx="452">
                  <c:v>-3530.0786930965678</c:v>
                </c:pt>
                <c:pt idx="453">
                  <c:v>-7754.4162410788122</c:v>
                </c:pt>
                <c:pt idx="454">
                  <c:v>-6000.9363130340789</c:v>
                </c:pt>
                <c:pt idx="455">
                  <c:v>-6139.262186075357</c:v>
                </c:pt>
                <c:pt idx="456">
                  <c:v>-4176.9482485397566</c:v>
                </c:pt>
                <c:pt idx="457">
                  <c:v>-4502.8384810516436</c:v>
                </c:pt>
                <c:pt idx="458">
                  <c:v>-5418.5105126478156</c:v>
                </c:pt>
                <c:pt idx="459">
                  <c:v>-180.46540748729603</c:v>
                </c:pt>
                <c:pt idx="460">
                  <c:v>-5834.3776228760398</c:v>
                </c:pt>
                <c:pt idx="461">
                  <c:v>-4015.5457795787806</c:v>
                </c:pt>
                <c:pt idx="462">
                  <c:v>-2338.909789104051</c:v>
                </c:pt>
                <c:pt idx="463">
                  <c:v>-5014.2140707372928</c:v>
                </c:pt>
                <c:pt idx="464">
                  <c:v>-383.28860416367752</c:v>
                </c:pt>
                <c:pt idx="465">
                  <c:v>993.91207294991909</c:v>
                </c:pt>
                <c:pt idx="466">
                  <c:v>1050.5401613902395</c:v>
                </c:pt>
                <c:pt idx="467">
                  <c:v>3569.3402279870934</c:v>
                </c:pt>
                <c:pt idx="468">
                  <c:v>1912.5158165422326</c:v>
                </c:pt>
                <c:pt idx="469">
                  <c:v>1832.9580708032081</c:v>
                </c:pt>
                <c:pt idx="470">
                  <c:v>302.73257730793193</c:v>
                </c:pt>
                <c:pt idx="471">
                  <c:v>-2510.0097808358551</c:v>
                </c:pt>
                <c:pt idx="472">
                  <c:v>987.38823644589138</c:v>
                </c:pt>
                <c:pt idx="473">
                  <c:v>3086.5508584919953</c:v>
                </c:pt>
                <c:pt idx="474">
                  <c:v>-838.76139593138396</c:v>
                </c:pt>
                <c:pt idx="475">
                  <c:v>-1254.9748923237385</c:v>
                </c:pt>
                <c:pt idx="476">
                  <c:v>-2977.0787948832876</c:v>
                </c:pt>
                <c:pt idx="477">
                  <c:v>2336.663448974763</c:v>
                </c:pt>
                <c:pt idx="478">
                  <c:v>-3971.2701048253366</c:v>
                </c:pt>
                <c:pt idx="479">
                  <c:v>-555.84378061726602</c:v>
                </c:pt>
                <c:pt idx="480">
                  <c:v>-544.46527657222759</c:v>
                </c:pt>
                <c:pt idx="481">
                  <c:v>-4359.6925753475771</c:v>
                </c:pt>
                <c:pt idx="482">
                  <c:v>-5113.0932224744574</c:v>
                </c:pt>
                <c:pt idx="483">
                  <c:v>495.47828895119528</c:v>
                </c:pt>
                <c:pt idx="484">
                  <c:v>615.83273465136881</c:v>
                </c:pt>
                <c:pt idx="485">
                  <c:v>-2803.8777689548479</c:v>
                </c:pt>
                <c:pt idx="486">
                  <c:v>-1068.7330773820395</c:v>
                </c:pt>
                <c:pt idx="487">
                  <c:v>-771.44730853748115</c:v>
                </c:pt>
                <c:pt idx="488">
                  <c:v>372.29066175199478</c:v>
                </c:pt>
                <c:pt idx="489">
                  <c:v>-3827.5800634917396</c:v>
                </c:pt>
                <c:pt idx="490">
                  <c:v>2575.712968014268</c:v>
                </c:pt>
                <c:pt idx="491">
                  <c:v>-3916.4285986195937</c:v>
                </c:pt>
                <c:pt idx="492">
                  <c:v>-448.35993625188348</c:v>
                </c:pt>
                <c:pt idx="493">
                  <c:v>1797.0413795378699</c:v>
                </c:pt>
                <c:pt idx="494">
                  <c:v>4396.2089790738901</c:v>
                </c:pt>
                <c:pt idx="495">
                  <c:v>6876.3316233830028</c:v>
                </c:pt>
                <c:pt idx="496">
                  <c:v>7176.8207622214541</c:v>
                </c:pt>
                <c:pt idx="497">
                  <c:v>-803.67625652917923</c:v>
                </c:pt>
                <c:pt idx="498">
                  <c:v>192.01361258702309</c:v>
                </c:pt>
                <c:pt idx="499">
                  <c:v>185.00937419067122</c:v>
                </c:pt>
                <c:pt idx="500">
                  <c:v>-3343.0194400034452</c:v>
                </c:pt>
                <c:pt idx="501">
                  <c:v>-3620.0592767155686</c:v>
                </c:pt>
                <c:pt idx="502">
                  <c:v>-3389.2159773284257</c:v>
                </c:pt>
                <c:pt idx="503">
                  <c:v>-6660.0671617203116</c:v>
                </c:pt>
                <c:pt idx="504">
                  <c:v>-7093.2347478059855</c:v>
                </c:pt>
                <c:pt idx="505">
                  <c:v>-12401.515059831087</c:v>
                </c:pt>
              </c:numCache>
            </c:numRef>
          </c:yVal>
          <c:smooth val="0"/>
          <c:extLst>
            <c:ext xmlns:c16="http://schemas.microsoft.com/office/drawing/2014/chart" uri="{C3380CC4-5D6E-409C-BE32-E72D297353CC}">
              <c16:uniqueId val="{00000003-13F3-4D66-8596-FDB5E3A949D7}"/>
            </c:ext>
          </c:extLst>
        </c:ser>
        <c:dLbls>
          <c:showLegendKey val="0"/>
          <c:showVal val="0"/>
          <c:showCatName val="0"/>
          <c:showSerName val="0"/>
          <c:showPercent val="0"/>
          <c:showBubbleSize val="0"/>
        </c:dLbls>
        <c:axId val="453237647"/>
        <c:axId val="453228047"/>
      </c:scatterChart>
      <c:valAx>
        <c:axId val="453237647"/>
        <c:scaling>
          <c:orientation val="minMax"/>
        </c:scaling>
        <c:delete val="0"/>
        <c:axPos val="b"/>
        <c:title>
          <c:tx>
            <c:rich>
              <a:bodyPr/>
              <a:lstStyle/>
              <a:p>
                <a:pPr>
                  <a:defRPr/>
                </a:pPr>
                <a:r>
                  <a:rPr lang="en-IN"/>
                  <a:t>LSTAT</a:t>
                </a:r>
              </a:p>
            </c:rich>
          </c:tx>
          <c:overlay val="0"/>
        </c:title>
        <c:numFmt formatCode="0.00\%" sourceLinked="1"/>
        <c:majorTickMark val="out"/>
        <c:minorTickMark val="none"/>
        <c:tickLblPos val="nextTo"/>
        <c:crossAx val="453228047"/>
        <c:crosses val="autoZero"/>
        <c:crossBetween val="midCat"/>
      </c:valAx>
      <c:valAx>
        <c:axId val="453228047"/>
        <c:scaling>
          <c:orientation val="minMax"/>
        </c:scaling>
        <c:delete val="0"/>
        <c:axPos val="l"/>
        <c:title>
          <c:tx>
            <c:rich>
              <a:bodyPr/>
              <a:lstStyle/>
              <a:p>
                <a:pPr>
                  <a:defRPr/>
                </a:pPr>
                <a:r>
                  <a:rPr lang="en-IN"/>
                  <a:t>Residuals</a:t>
                </a:r>
              </a:p>
            </c:rich>
          </c:tx>
          <c:overlay val="0"/>
        </c:title>
        <c:numFmt formatCode="General" sourceLinked="1"/>
        <c:majorTickMark val="out"/>
        <c:minorTickMark val="none"/>
        <c:tickLblPos val="nextTo"/>
        <c:crossAx val="453237647"/>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AVG_ROOM  Residual Plot</a:t>
            </a:r>
          </a:p>
        </c:rich>
      </c:tx>
      <c:layout>
        <c:manualLayout>
          <c:xMode val="edge"/>
          <c:yMode val="edge"/>
          <c:x val="0.14571166885389325"/>
          <c:y val="2.6402640264026403E-2"/>
        </c:manualLayout>
      </c:layout>
      <c:overlay val="0"/>
    </c:title>
    <c:autoTitleDeleted val="0"/>
    <c:plotArea>
      <c:layout/>
      <c:scatterChart>
        <c:scatterStyle val="lineMarker"/>
        <c:varyColors val="0"/>
        <c:ser>
          <c:idx val="0"/>
          <c:order val="0"/>
          <c:spPr>
            <a:ln w="19050">
              <a:noFill/>
            </a:ln>
          </c:spPr>
          <c:xVal>
            <c:numRef>
              <c:f>'regression data'!$F$2:$F$507</c:f>
              <c:numCache>
                <c:formatCode>0</c:formatCode>
                <c:ptCount val="506"/>
                <c:pt idx="0">
                  <c:v>6.5750000000000002</c:v>
                </c:pt>
                <c:pt idx="1">
                  <c:v>6.4210000000000003</c:v>
                </c:pt>
                <c:pt idx="2">
                  <c:v>7.1849999999999996</c:v>
                </c:pt>
                <c:pt idx="3">
                  <c:v>6.9980000000000002</c:v>
                </c:pt>
                <c:pt idx="4">
                  <c:v>7.1470000000000002</c:v>
                </c:pt>
                <c:pt idx="5">
                  <c:v>6.43</c:v>
                </c:pt>
                <c:pt idx="6">
                  <c:v>6.0119999999999996</c:v>
                </c:pt>
                <c:pt idx="7">
                  <c:v>6.1719999999999997</c:v>
                </c:pt>
                <c:pt idx="8">
                  <c:v>5.6310000000000002</c:v>
                </c:pt>
                <c:pt idx="9">
                  <c:v>6.0039999999999996</c:v>
                </c:pt>
                <c:pt idx="10">
                  <c:v>6.3769999999999998</c:v>
                </c:pt>
                <c:pt idx="11">
                  <c:v>6.0090000000000003</c:v>
                </c:pt>
                <c:pt idx="12">
                  <c:v>5.8890000000000002</c:v>
                </c:pt>
                <c:pt idx="13">
                  <c:v>5.9489999999999998</c:v>
                </c:pt>
                <c:pt idx="14">
                  <c:v>6.0960000000000001</c:v>
                </c:pt>
                <c:pt idx="15">
                  <c:v>5.8339999999999996</c:v>
                </c:pt>
                <c:pt idx="16">
                  <c:v>5.9349999999999996</c:v>
                </c:pt>
                <c:pt idx="17">
                  <c:v>5.99</c:v>
                </c:pt>
                <c:pt idx="18">
                  <c:v>5.4560000000000004</c:v>
                </c:pt>
                <c:pt idx="19">
                  <c:v>5.7270000000000003</c:v>
                </c:pt>
                <c:pt idx="20">
                  <c:v>5.57</c:v>
                </c:pt>
                <c:pt idx="21">
                  <c:v>5.9649999999999999</c:v>
                </c:pt>
                <c:pt idx="22">
                  <c:v>6.1420000000000003</c:v>
                </c:pt>
                <c:pt idx="23">
                  <c:v>5.8129999999999997</c:v>
                </c:pt>
                <c:pt idx="24">
                  <c:v>5.9240000000000004</c:v>
                </c:pt>
                <c:pt idx="25">
                  <c:v>5.5990000000000002</c:v>
                </c:pt>
                <c:pt idx="26">
                  <c:v>5.8129999999999997</c:v>
                </c:pt>
                <c:pt idx="27">
                  <c:v>6.0469999999999997</c:v>
                </c:pt>
                <c:pt idx="28">
                  <c:v>6.4950000000000001</c:v>
                </c:pt>
                <c:pt idx="29">
                  <c:v>6.6740000000000004</c:v>
                </c:pt>
                <c:pt idx="30">
                  <c:v>5.7130000000000001</c:v>
                </c:pt>
                <c:pt idx="31">
                  <c:v>6.0720000000000001</c:v>
                </c:pt>
                <c:pt idx="32">
                  <c:v>5.95</c:v>
                </c:pt>
                <c:pt idx="33">
                  <c:v>5.7009999999999996</c:v>
                </c:pt>
                <c:pt idx="34">
                  <c:v>6.0960000000000001</c:v>
                </c:pt>
                <c:pt idx="35">
                  <c:v>5.9329999999999998</c:v>
                </c:pt>
                <c:pt idx="36">
                  <c:v>5.8410000000000002</c:v>
                </c:pt>
                <c:pt idx="37">
                  <c:v>5.85</c:v>
                </c:pt>
                <c:pt idx="38">
                  <c:v>5.9660000000000002</c:v>
                </c:pt>
                <c:pt idx="39">
                  <c:v>6.5949999999999998</c:v>
                </c:pt>
                <c:pt idx="40">
                  <c:v>7.024</c:v>
                </c:pt>
                <c:pt idx="41">
                  <c:v>6.77</c:v>
                </c:pt>
                <c:pt idx="42">
                  <c:v>6.1689999999999996</c:v>
                </c:pt>
                <c:pt idx="43">
                  <c:v>6.2110000000000003</c:v>
                </c:pt>
                <c:pt idx="44">
                  <c:v>6.069</c:v>
                </c:pt>
                <c:pt idx="45">
                  <c:v>5.6820000000000004</c:v>
                </c:pt>
                <c:pt idx="46">
                  <c:v>5.7859999999999996</c:v>
                </c:pt>
                <c:pt idx="47">
                  <c:v>6.03</c:v>
                </c:pt>
                <c:pt idx="48">
                  <c:v>5.399</c:v>
                </c:pt>
                <c:pt idx="49">
                  <c:v>5.6020000000000003</c:v>
                </c:pt>
                <c:pt idx="50">
                  <c:v>5.9630000000000001</c:v>
                </c:pt>
                <c:pt idx="51">
                  <c:v>6.1150000000000002</c:v>
                </c:pt>
                <c:pt idx="52">
                  <c:v>6.5110000000000001</c:v>
                </c:pt>
                <c:pt idx="53">
                  <c:v>5.9980000000000002</c:v>
                </c:pt>
                <c:pt idx="54">
                  <c:v>5.8879999999999999</c:v>
                </c:pt>
                <c:pt idx="55">
                  <c:v>7.2489999999999997</c:v>
                </c:pt>
                <c:pt idx="56">
                  <c:v>6.383</c:v>
                </c:pt>
                <c:pt idx="57">
                  <c:v>6.8159999999999998</c:v>
                </c:pt>
                <c:pt idx="58">
                  <c:v>6.1449999999999996</c:v>
                </c:pt>
                <c:pt idx="59">
                  <c:v>5.9269999999999996</c:v>
                </c:pt>
                <c:pt idx="60">
                  <c:v>5.7409999999999997</c:v>
                </c:pt>
                <c:pt idx="61">
                  <c:v>5.9660000000000002</c:v>
                </c:pt>
                <c:pt idx="62">
                  <c:v>6.4560000000000004</c:v>
                </c:pt>
                <c:pt idx="63">
                  <c:v>6.7619999999999996</c:v>
                </c:pt>
                <c:pt idx="64">
                  <c:v>7.1040000000000001</c:v>
                </c:pt>
                <c:pt idx="65">
                  <c:v>6.29</c:v>
                </c:pt>
                <c:pt idx="66">
                  <c:v>5.7869999999999999</c:v>
                </c:pt>
                <c:pt idx="67">
                  <c:v>5.8780000000000001</c:v>
                </c:pt>
                <c:pt idx="68">
                  <c:v>5.5940000000000003</c:v>
                </c:pt>
                <c:pt idx="69">
                  <c:v>5.8849999999999998</c:v>
                </c:pt>
                <c:pt idx="70">
                  <c:v>6.4169999999999998</c:v>
                </c:pt>
                <c:pt idx="71">
                  <c:v>5.9610000000000003</c:v>
                </c:pt>
                <c:pt idx="72">
                  <c:v>6.0650000000000004</c:v>
                </c:pt>
                <c:pt idx="73">
                  <c:v>6.2450000000000001</c:v>
                </c:pt>
                <c:pt idx="74">
                  <c:v>6.2729999999999997</c:v>
                </c:pt>
                <c:pt idx="75">
                  <c:v>6.2859999999999996</c:v>
                </c:pt>
                <c:pt idx="76">
                  <c:v>6.2789999999999999</c:v>
                </c:pt>
                <c:pt idx="77">
                  <c:v>6.14</c:v>
                </c:pt>
                <c:pt idx="78">
                  <c:v>6.2320000000000002</c:v>
                </c:pt>
                <c:pt idx="79">
                  <c:v>5.8739999999999997</c:v>
                </c:pt>
                <c:pt idx="80">
                  <c:v>6.7270000000000003</c:v>
                </c:pt>
                <c:pt idx="81">
                  <c:v>6.6189999999999998</c:v>
                </c:pt>
                <c:pt idx="82">
                  <c:v>6.3019999999999996</c:v>
                </c:pt>
                <c:pt idx="83">
                  <c:v>6.1669999999999998</c:v>
                </c:pt>
                <c:pt idx="84">
                  <c:v>6.3890000000000002</c:v>
                </c:pt>
                <c:pt idx="85">
                  <c:v>6.63</c:v>
                </c:pt>
                <c:pt idx="86">
                  <c:v>6.0149999999999997</c:v>
                </c:pt>
                <c:pt idx="87">
                  <c:v>6.1210000000000004</c:v>
                </c:pt>
                <c:pt idx="88">
                  <c:v>7.0069999999999997</c:v>
                </c:pt>
                <c:pt idx="89">
                  <c:v>7.0789999999999997</c:v>
                </c:pt>
                <c:pt idx="90">
                  <c:v>6.4169999999999998</c:v>
                </c:pt>
                <c:pt idx="91">
                  <c:v>6.4050000000000002</c:v>
                </c:pt>
                <c:pt idx="92">
                  <c:v>6.4420000000000002</c:v>
                </c:pt>
                <c:pt idx="93">
                  <c:v>6.2110000000000003</c:v>
                </c:pt>
                <c:pt idx="94">
                  <c:v>6.2489999999999997</c:v>
                </c:pt>
                <c:pt idx="95">
                  <c:v>6.625</c:v>
                </c:pt>
                <c:pt idx="96">
                  <c:v>6.1630000000000003</c:v>
                </c:pt>
                <c:pt idx="97">
                  <c:v>8.0690000000000008</c:v>
                </c:pt>
                <c:pt idx="98">
                  <c:v>7.82</c:v>
                </c:pt>
                <c:pt idx="99">
                  <c:v>7.4160000000000004</c:v>
                </c:pt>
                <c:pt idx="100">
                  <c:v>6.7270000000000003</c:v>
                </c:pt>
                <c:pt idx="101">
                  <c:v>6.7809999999999997</c:v>
                </c:pt>
                <c:pt idx="102">
                  <c:v>6.4050000000000002</c:v>
                </c:pt>
                <c:pt idx="103">
                  <c:v>6.1369999999999996</c:v>
                </c:pt>
                <c:pt idx="104">
                  <c:v>6.1669999999999998</c:v>
                </c:pt>
                <c:pt idx="105">
                  <c:v>5.851</c:v>
                </c:pt>
                <c:pt idx="106">
                  <c:v>5.8360000000000003</c:v>
                </c:pt>
                <c:pt idx="107">
                  <c:v>6.1269999999999998</c:v>
                </c:pt>
                <c:pt idx="108">
                  <c:v>6.4740000000000002</c:v>
                </c:pt>
                <c:pt idx="109">
                  <c:v>6.2290000000000001</c:v>
                </c:pt>
                <c:pt idx="110">
                  <c:v>6.1950000000000003</c:v>
                </c:pt>
                <c:pt idx="111">
                  <c:v>6.7149999999999999</c:v>
                </c:pt>
                <c:pt idx="112">
                  <c:v>5.9130000000000003</c:v>
                </c:pt>
                <c:pt idx="113">
                  <c:v>6.0919999999999996</c:v>
                </c:pt>
                <c:pt idx="114">
                  <c:v>6.2539999999999996</c:v>
                </c:pt>
                <c:pt idx="115">
                  <c:v>5.9279999999999999</c:v>
                </c:pt>
                <c:pt idx="116">
                  <c:v>6.1760000000000002</c:v>
                </c:pt>
                <c:pt idx="117">
                  <c:v>6.0209999999999999</c:v>
                </c:pt>
                <c:pt idx="118">
                  <c:v>5.8719999999999999</c:v>
                </c:pt>
                <c:pt idx="119">
                  <c:v>5.7309999999999999</c:v>
                </c:pt>
                <c:pt idx="120">
                  <c:v>5.87</c:v>
                </c:pt>
                <c:pt idx="121">
                  <c:v>6.0039999999999996</c:v>
                </c:pt>
                <c:pt idx="122">
                  <c:v>5.9610000000000003</c:v>
                </c:pt>
                <c:pt idx="123">
                  <c:v>5.8559999999999999</c:v>
                </c:pt>
                <c:pt idx="124">
                  <c:v>5.8789999999999996</c:v>
                </c:pt>
                <c:pt idx="125">
                  <c:v>5.9859999999999998</c:v>
                </c:pt>
                <c:pt idx="126">
                  <c:v>5.6130000000000004</c:v>
                </c:pt>
                <c:pt idx="127">
                  <c:v>5.6929999999999996</c:v>
                </c:pt>
                <c:pt idx="128">
                  <c:v>6.431</c:v>
                </c:pt>
                <c:pt idx="129">
                  <c:v>5.6369999999999996</c:v>
                </c:pt>
                <c:pt idx="130">
                  <c:v>6.4580000000000002</c:v>
                </c:pt>
                <c:pt idx="131">
                  <c:v>6.3259999999999996</c:v>
                </c:pt>
                <c:pt idx="132">
                  <c:v>6.3719999999999999</c:v>
                </c:pt>
                <c:pt idx="133">
                  <c:v>5.8220000000000001</c:v>
                </c:pt>
                <c:pt idx="134">
                  <c:v>5.7569999999999997</c:v>
                </c:pt>
                <c:pt idx="135">
                  <c:v>6.335</c:v>
                </c:pt>
                <c:pt idx="136">
                  <c:v>5.9420000000000002</c:v>
                </c:pt>
                <c:pt idx="137">
                  <c:v>6.4539999999999997</c:v>
                </c:pt>
                <c:pt idx="138">
                  <c:v>5.8570000000000002</c:v>
                </c:pt>
                <c:pt idx="139">
                  <c:v>6.1509999999999998</c:v>
                </c:pt>
                <c:pt idx="140">
                  <c:v>6.1740000000000004</c:v>
                </c:pt>
                <c:pt idx="141">
                  <c:v>5.0190000000000001</c:v>
                </c:pt>
                <c:pt idx="142">
                  <c:v>5.4029999999999996</c:v>
                </c:pt>
                <c:pt idx="143">
                  <c:v>5.468</c:v>
                </c:pt>
                <c:pt idx="144">
                  <c:v>4.9029999999999996</c:v>
                </c:pt>
                <c:pt idx="145">
                  <c:v>6.13</c:v>
                </c:pt>
                <c:pt idx="146">
                  <c:v>5.6280000000000001</c:v>
                </c:pt>
                <c:pt idx="147">
                  <c:v>4.9260000000000002</c:v>
                </c:pt>
                <c:pt idx="148">
                  <c:v>5.1859999999999999</c:v>
                </c:pt>
                <c:pt idx="149">
                  <c:v>5.5970000000000004</c:v>
                </c:pt>
                <c:pt idx="150">
                  <c:v>6.1219999999999999</c:v>
                </c:pt>
                <c:pt idx="151">
                  <c:v>5.4039999999999999</c:v>
                </c:pt>
                <c:pt idx="152">
                  <c:v>5.0119999999999996</c:v>
                </c:pt>
                <c:pt idx="153">
                  <c:v>5.7089999999999996</c:v>
                </c:pt>
                <c:pt idx="154">
                  <c:v>6.1289999999999996</c:v>
                </c:pt>
                <c:pt idx="155">
                  <c:v>6.1520000000000001</c:v>
                </c:pt>
                <c:pt idx="156">
                  <c:v>5.2720000000000002</c:v>
                </c:pt>
                <c:pt idx="157">
                  <c:v>6.9429999999999996</c:v>
                </c:pt>
                <c:pt idx="158">
                  <c:v>6.0659999999999998</c:v>
                </c:pt>
                <c:pt idx="159">
                  <c:v>6.51</c:v>
                </c:pt>
                <c:pt idx="160">
                  <c:v>6.25</c:v>
                </c:pt>
                <c:pt idx="161">
                  <c:v>7.4889999999999999</c:v>
                </c:pt>
                <c:pt idx="162">
                  <c:v>7.8019999999999996</c:v>
                </c:pt>
                <c:pt idx="163">
                  <c:v>8.375</c:v>
                </c:pt>
                <c:pt idx="164">
                  <c:v>5.8540000000000001</c:v>
                </c:pt>
                <c:pt idx="165">
                  <c:v>6.101</c:v>
                </c:pt>
                <c:pt idx="166">
                  <c:v>7.9290000000000003</c:v>
                </c:pt>
                <c:pt idx="167">
                  <c:v>5.8769999999999998</c:v>
                </c:pt>
                <c:pt idx="168">
                  <c:v>6.319</c:v>
                </c:pt>
                <c:pt idx="169">
                  <c:v>6.4020000000000001</c:v>
                </c:pt>
                <c:pt idx="170">
                  <c:v>5.875</c:v>
                </c:pt>
                <c:pt idx="171">
                  <c:v>5.88</c:v>
                </c:pt>
                <c:pt idx="172">
                  <c:v>5.5720000000000001</c:v>
                </c:pt>
                <c:pt idx="173">
                  <c:v>6.4160000000000004</c:v>
                </c:pt>
                <c:pt idx="174">
                  <c:v>5.859</c:v>
                </c:pt>
                <c:pt idx="175">
                  <c:v>6.5460000000000003</c:v>
                </c:pt>
                <c:pt idx="176">
                  <c:v>6.02</c:v>
                </c:pt>
                <c:pt idx="177">
                  <c:v>6.3150000000000004</c:v>
                </c:pt>
                <c:pt idx="178">
                  <c:v>6.86</c:v>
                </c:pt>
                <c:pt idx="179">
                  <c:v>6.98</c:v>
                </c:pt>
                <c:pt idx="180">
                  <c:v>7.7649999999999997</c:v>
                </c:pt>
                <c:pt idx="181">
                  <c:v>6.1440000000000001</c:v>
                </c:pt>
                <c:pt idx="182">
                  <c:v>7.1550000000000002</c:v>
                </c:pt>
                <c:pt idx="183">
                  <c:v>6.5629999999999997</c:v>
                </c:pt>
                <c:pt idx="184">
                  <c:v>5.6040000000000001</c:v>
                </c:pt>
                <c:pt idx="185">
                  <c:v>6.1529999999999996</c:v>
                </c:pt>
                <c:pt idx="186">
                  <c:v>7.8310000000000004</c:v>
                </c:pt>
                <c:pt idx="187">
                  <c:v>6.782</c:v>
                </c:pt>
                <c:pt idx="188">
                  <c:v>6.556</c:v>
                </c:pt>
                <c:pt idx="189">
                  <c:v>7.1849999999999996</c:v>
                </c:pt>
                <c:pt idx="190">
                  <c:v>6.9509999999999996</c:v>
                </c:pt>
                <c:pt idx="191">
                  <c:v>6.7389999999999999</c:v>
                </c:pt>
                <c:pt idx="192">
                  <c:v>7.1779999999999999</c:v>
                </c:pt>
                <c:pt idx="193">
                  <c:v>6.8</c:v>
                </c:pt>
                <c:pt idx="194">
                  <c:v>6.6040000000000001</c:v>
                </c:pt>
                <c:pt idx="195">
                  <c:v>7.875</c:v>
                </c:pt>
                <c:pt idx="196">
                  <c:v>7.2869999999999999</c:v>
                </c:pt>
                <c:pt idx="197">
                  <c:v>7.1070000000000002</c:v>
                </c:pt>
                <c:pt idx="198">
                  <c:v>7.274</c:v>
                </c:pt>
                <c:pt idx="199">
                  <c:v>6.9749999999999996</c:v>
                </c:pt>
                <c:pt idx="200">
                  <c:v>7.1349999999999998</c:v>
                </c:pt>
                <c:pt idx="201">
                  <c:v>6.1619999999999999</c:v>
                </c:pt>
                <c:pt idx="202">
                  <c:v>7.61</c:v>
                </c:pt>
                <c:pt idx="203">
                  <c:v>7.8529999999999998</c:v>
                </c:pt>
                <c:pt idx="204">
                  <c:v>8.0340000000000007</c:v>
                </c:pt>
                <c:pt idx="205">
                  <c:v>5.891</c:v>
                </c:pt>
                <c:pt idx="206">
                  <c:v>6.3259999999999996</c:v>
                </c:pt>
                <c:pt idx="207">
                  <c:v>5.7830000000000004</c:v>
                </c:pt>
                <c:pt idx="208">
                  <c:v>6.0640000000000001</c:v>
                </c:pt>
                <c:pt idx="209">
                  <c:v>5.3440000000000003</c:v>
                </c:pt>
                <c:pt idx="210">
                  <c:v>5.96</c:v>
                </c:pt>
                <c:pt idx="211">
                  <c:v>5.4039999999999999</c:v>
                </c:pt>
                <c:pt idx="212">
                  <c:v>5.8070000000000004</c:v>
                </c:pt>
                <c:pt idx="213">
                  <c:v>6.375</c:v>
                </c:pt>
                <c:pt idx="214">
                  <c:v>5.4119999999999999</c:v>
                </c:pt>
                <c:pt idx="215">
                  <c:v>6.1820000000000004</c:v>
                </c:pt>
                <c:pt idx="216">
                  <c:v>5.8879999999999999</c:v>
                </c:pt>
                <c:pt idx="217">
                  <c:v>6.6420000000000003</c:v>
                </c:pt>
                <c:pt idx="218">
                  <c:v>5.9509999999999996</c:v>
                </c:pt>
                <c:pt idx="219">
                  <c:v>6.3730000000000002</c:v>
                </c:pt>
                <c:pt idx="220">
                  <c:v>6.9509999999999996</c:v>
                </c:pt>
                <c:pt idx="221">
                  <c:v>6.1639999999999997</c:v>
                </c:pt>
                <c:pt idx="222">
                  <c:v>6.8789999999999996</c:v>
                </c:pt>
                <c:pt idx="223">
                  <c:v>6.6180000000000003</c:v>
                </c:pt>
                <c:pt idx="224">
                  <c:v>8.266</c:v>
                </c:pt>
                <c:pt idx="225">
                  <c:v>8.7249999999999996</c:v>
                </c:pt>
                <c:pt idx="226">
                  <c:v>8.0399999999999991</c:v>
                </c:pt>
                <c:pt idx="227">
                  <c:v>7.1630000000000003</c:v>
                </c:pt>
                <c:pt idx="228">
                  <c:v>7.6859999999999999</c:v>
                </c:pt>
                <c:pt idx="229">
                  <c:v>6.5519999999999996</c:v>
                </c:pt>
                <c:pt idx="230">
                  <c:v>5.9809999999999999</c:v>
                </c:pt>
                <c:pt idx="231">
                  <c:v>7.4119999999999999</c:v>
                </c:pt>
                <c:pt idx="232">
                  <c:v>8.3369999999999997</c:v>
                </c:pt>
                <c:pt idx="233">
                  <c:v>8.2469999999999999</c:v>
                </c:pt>
                <c:pt idx="234">
                  <c:v>6.726</c:v>
                </c:pt>
                <c:pt idx="235">
                  <c:v>6.0860000000000003</c:v>
                </c:pt>
                <c:pt idx="236">
                  <c:v>6.6310000000000002</c:v>
                </c:pt>
                <c:pt idx="237">
                  <c:v>7.3579999999999997</c:v>
                </c:pt>
                <c:pt idx="238">
                  <c:v>6.4809999999999999</c:v>
                </c:pt>
                <c:pt idx="239">
                  <c:v>6.6059999999999999</c:v>
                </c:pt>
                <c:pt idx="240">
                  <c:v>6.8970000000000002</c:v>
                </c:pt>
                <c:pt idx="241">
                  <c:v>6.0949999999999998</c:v>
                </c:pt>
                <c:pt idx="242">
                  <c:v>6.3579999999999997</c:v>
                </c:pt>
                <c:pt idx="243">
                  <c:v>6.3929999999999998</c:v>
                </c:pt>
                <c:pt idx="244">
                  <c:v>5.593</c:v>
                </c:pt>
                <c:pt idx="245">
                  <c:v>5.6050000000000004</c:v>
                </c:pt>
                <c:pt idx="246">
                  <c:v>6.1079999999999997</c:v>
                </c:pt>
                <c:pt idx="247">
                  <c:v>6.226</c:v>
                </c:pt>
                <c:pt idx="248">
                  <c:v>6.4329999999999998</c:v>
                </c:pt>
                <c:pt idx="249">
                  <c:v>6.718</c:v>
                </c:pt>
                <c:pt idx="250">
                  <c:v>6.4870000000000001</c:v>
                </c:pt>
                <c:pt idx="251">
                  <c:v>6.4379999999999997</c:v>
                </c:pt>
                <c:pt idx="252">
                  <c:v>6.9569999999999999</c:v>
                </c:pt>
                <c:pt idx="253">
                  <c:v>8.2590000000000003</c:v>
                </c:pt>
                <c:pt idx="254">
                  <c:v>6.1079999999999997</c:v>
                </c:pt>
                <c:pt idx="255">
                  <c:v>5.8760000000000003</c:v>
                </c:pt>
                <c:pt idx="256">
                  <c:v>7.4539999999999997</c:v>
                </c:pt>
                <c:pt idx="257">
                  <c:v>8.7040000000000006</c:v>
                </c:pt>
                <c:pt idx="258">
                  <c:v>7.3330000000000002</c:v>
                </c:pt>
                <c:pt idx="259">
                  <c:v>6.8419999999999996</c:v>
                </c:pt>
                <c:pt idx="260">
                  <c:v>7.2030000000000003</c:v>
                </c:pt>
                <c:pt idx="261">
                  <c:v>7.52</c:v>
                </c:pt>
                <c:pt idx="262">
                  <c:v>8.3979999999999997</c:v>
                </c:pt>
                <c:pt idx="263">
                  <c:v>7.327</c:v>
                </c:pt>
                <c:pt idx="264">
                  <c:v>7.2060000000000004</c:v>
                </c:pt>
                <c:pt idx="265">
                  <c:v>5.56</c:v>
                </c:pt>
                <c:pt idx="266">
                  <c:v>7.0140000000000002</c:v>
                </c:pt>
                <c:pt idx="267">
                  <c:v>8.2970000000000006</c:v>
                </c:pt>
                <c:pt idx="268">
                  <c:v>7.47</c:v>
                </c:pt>
                <c:pt idx="269">
                  <c:v>5.92</c:v>
                </c:pt>
                <c:pt idx="270">
                  <c:v>5.8559999999999999</c:v>
                </c:pt>
                <c:pt idx="271">
                  <c:v>6.24</c:v>
                </c:pt>
                <c:pt idx="272">
                  <c:v>6.5380000000000003</c:v>
                </c:pt>
                <c:pt idx="273">
                  <c:v>7.6909999999999998</c:v>
                </c:pt>
                <c:pt idx="274">
                  <c:v>6.758</c:v>
                </c:pt>
                <c:pt idx="275">
                  <c:v>6.8540000000000001</c:v>
                </c:pt>
                <c:pt idx="276">
                  <c:v>7.2670000000000003</c:v>
                </c:pt>
                <c:pt idx="277">
                  <c:v>6.8259999999999996</c:v>
                </c:pt>
                <c:pt idx="278">
                  <c:v>6.4820000000000002</c:v>
                </c:pt>
                <c:pt idx="279">
                  <c:v>6.8120000000000003</c:v>
                </c:pt>
                <c:pt idx="280">
                  <c:v>7.82</c:v>
                </c:pt>
                <c:pt idx="281">
                  <c:v>6.968</c:v>
                </c:pt>
                <c:pt idx="282">
                  <c:v>7.6449999999999996</c:v>
                </c:pt>
                <c:pt idx="283">
                  <c:v>7.923</c:v>
                </c:pt>
                <c:pt idx="284">
                  <c:v>7.0880000000000001</c:v>
                </c:pt>
                <c:pt idx="285">
                  <c:v>6.4530000000000003</c:v>
                </c:pt>
                <c:pt idx="286">
                  <c:v>6.23</c:v>
                </c:pt>
                <c:pt idx="287">
                  <c:v>6.2089999999999996</c:v>
                </c:pt>
                <c:pt idx="288">
                  <c:v>6.3150000000000004</c:v>
                </c:pt>
                <c:pt idx="289">
                  <c:v>6.5650000000000004</c:v>
                </c:pt>
                <c:pt idx="290">
                  <c:v>6.8609999999999998</c:v>
                </c:pt>
                <c:pt idx="291">
                  <c:v>7.1479999999999997</c:v>
                </c:pt>
                <c:pt idx="292">
                  <c:v>6.63</c:v>
                </c:pt>
                <c:pt idx="293">
                  <c:v>6.1269999999999998</c:v>
                </c:pt>
                <c:pt idx="294">
                  <c:v>6.0090000000000003</c:v>
                </c:pt>
                <c:pt idx="295">
                  <c:v>6.6779999999999999</c:v>
                </c:pt>
                <c:pt idx="296">
                  <c:v>6.5490000000000004</c:v>
                </c:pt>
                <c:pt idx="297">
                  <c:v>5.79</c:v>
                </c:pt>
                <c:pt idx="298">
                  <c:v>6.3449999999999998</c:v>
                </c:pt>
                <c:pt idx="299">
                  <c:v>7.0410000000000004</c:v>
                </c:pt>
                <c:pt idx="300">
                  <c:v>6.8710000000000004</c:v>
                </c:pt>
                <c:pt idx="301">
                  <c:v>6.59</c:v>
                </c:pt>
                <c:pt idx="302">
                  <c:v>6.4950000000000001</c:v>
                </c:pt>
                <c:pt idx="303">
                  <c:v>6.9820000000000002</c:v>
                </c:pt>
                <c:pt idx="304">
                  <c:v>7.2359999999999998</c:v>
                </c:pt>
                <c:pt idx="305">
                  <c:v>6.6159999999999997</c:v>
                </c:pt>
                <c:pt idx="306">
                  <c:v>7.42</c:v>
                </c:pt>
                <c:pt idx="307">
                  <c:v>6.8490000000000002</c:v>
                </c:pt>
                <c:pt idx="308">
                  <c:v>6.6349999999999998</c:v>
                </c:pt>
                <c:pt idx="309">
                  <c:v>5.9720000000000004</c:v>
                </c:pt>
                <c:pt idx="310">
                  <c:v>4.9729999999999999</c:v>
                </c:pt>
                <c:pt idx="311">
                  <c:v>6.1219999999999999</c:v>
                </c:pt>
                <c:pt idx="312">
                  <c:v>6.0229999999999997</c:v>
                </c:pt>
                <c:pt idx="313">
                  <c:v>6.266</c:v>
                </c:pt>
                <c:pt idx="314">
                  <c:v>6.5670000000000002</c:v>
                </c:pt>
                <c:pt idx="315">
                  <c:v>5.7050000000000001</c:v>
                </c:pt>
                <c:pt idx="316">
                  <c:v>5.9139999999999997</c:v>
                </c:pt>
                <c:pt idx="317">
                  <c:v>5.782</c:v>
                </c:pt>
                <c:pt idx="318">
                  <c:v>6.3819999999999997</c:v>
                </c:pt>
                <c:pt idx="319">
                  <c:v>6.1130000000000004</c:v>
                </c:pt>
                <c:pt idx="320">
                  <c:v>6.4260000000000002</c:v>
                </c:pt>
                <c:pt idx="321">
                  <c:v>6.3760000000000003</c:v>
                </c:pt>
                <c:pt idx="322">
                  <c:v>6.0410000000000004</c:v>
                </c:pt>
                <c:pt idx="323">
                  <c:v>5.7080000000000002</c:v>
                </c:pt>
                <c:pt idx="324">
                  <c:v>6.415</c:v>
                </c:pt>
                <c:pt idx="325">
                  <c:v>6.431</c:v>
                </c:pt>
                <c:pt idx="326">
                  <c:v>6.3120000000000003</c:v>
                </c:pt>
                <c:pt idx="327">
                  <c:v>6.0830000000000002</c:v>
                </c:pt>
                <c:pt idx="328">
                  <c:v>5.8680000000000003</c:v>
                </c:pt>
                <c:pt idx="329">
                  <c:v>6.3330000000000002</c:v>
                </c:pt>
                <c:pt idx="330">
                  <c:v>6.1440000000000001</c:v>
                </c:pt>
                <c:pt idx="331">
                  <c:v>5.7060000000000004</c:v>
                </c:pt>
                <c:pt idx="332">
                  <c:v>6.0309999999999997</c:v>
                </c:pt>
                <c:pt idx="333">
                  <c:v>6.3159999999999998</c:v>
                </c:pt>
                <c:pt idx="334">
                  <c:v>6.31</c:v>
                </c:pt>
                <c:pt idx="335">
                  <c:v>6.0369999999999999</c:v>
                </c:pt>
                <c:pt idx="336">
                  <c:v>5.8689999999999998</c:v>
                </c:pt>
                <c:pt idx="337">
                  <c:v>5.8949999999999996</c:v>
                </c:pt>
                <c:pt idx="338">
                  <c:v>6.0590000000000002</c:v>
                </c:pt>
                <c:pt idx="339">
                  <c:v>5.9850000000000003</c:v>
                </c:pt>
                <c:pt idx="340">
                  <c:v>5.968</c:v>
                </c:pt>
                <c:pt idx="341">
                  <c:v>7.2409999999999997</c:v>
                </c:pt>
                <c:pt idx="342">
                  <c:v>6.54</c:v>
                </c:pt>
                <c:pt idx="343">
                  <c:v>6.6959999999999997</c:v>
                </c:pt>
                <c:pt idx="344">
                  <c:v>6.8739999999999997</c:v>
                </c:pt>
                <c:pt idx="345">
                  <c:v>6.0140000000000002</c:v>
                </c:pt>
                <c:pt idx="346">
                  <c:v>5.8979999999999997</c:v>
                </c:pt>
                <c:pt idx="347">
                  <c:v>6.516</c:v>
                </c:pt>
                <c:pt idx="348">
                  <c:v>6.6349999999999998</c:v>
                </c:pt>
                <c:pt idx="349">
                  <c:v>6.9390000000000001</c:v>
                </c:pt>
                <c:pt idx="350">
                  <c:v>6.49</c:v>
                </c:pt>
                <c:pt idx="351">
                  <c:v>6.5789999999999997</c:v>
                </c:pt>
                <c:pt idx="352">
                  <c:v>5.8840000000000003</c:v>
                </c:pt>
                <c:pt idx="353">
                  <c:v>6.7279999999999998</c:v>
                </c:pt>
                <c:pt idx="354">
                  <c:v>5.6630000000000003</c:v>
                </c:pt>
                <c:pt idx="355">
                  <c:v>5.9359999999999999</c:v>
                </c:pt>
                <c:pt idx="356">
                  <c:v>6.2119999999999997</c:v>
                </c:pt>
                <c:pt idx="357">
                  <c:v>6.3949999999999996</c:v>
                </c:pt>
                <c:pt idx="358">
                  <c:v>6.1269999999999998</c:v>
                </c:pt>
                <c:pt idx="359">
                  <c:v>6.1120000000000001</c:v>
                </c:pt>
                <c:pt idx="360">
                  <c:v>6.3979999999999997</c:v>
                </c:pt>
                <c:pt idx="361">
                  <c:v>6.2510000000000003</c:v>
                </c:pt>
                <c:pt idx="362">
                  <c:v>5.3620000000000001</c:v>
                </c:pt>
                <c:pt idx="363">
                  <c:v>5.8029999999999999</c:v>
                </c:pt>
                <c:pt idx="364">
                  <c:v>8.7799999999999994</c:v>
                </c:pt>
                <c:pt idx="365">
                  <c:v>3.5609999999999999</c:v>
                </c:pt>
                <c:pt idx="366">
                  <c:v>4.9630000000000001</c:v>
                </c:pt>
                <c:pt idx="367">
                  <c:v>3.863</c:v>
                </c:pt>
                <c:pt idx="368">
                  <c:v>4.97</c:v>
                </c:pt>
                <c:pt idx="369">
                  <c:v>6.6829999999999998</c:v>
                </c:pt>
                <c:pt idx="370">
                  <c:v>7.016</c:v>
                </c:pt>
                <c:pt idx="371">
                  <c:v>6.2160000000000002</c:v>
                </c:pt>
                <c:pt idx="372">
                  <c:v>5.875</c:v>
                </c:pt>
                <c:pt idx="373">
                  <c:v>4.9059999999999997</c:v>
                </c:pt>
                <c:pt idx="374">
                  <c:v>4.1379999999999999</c:v>
                </c:pt>
                <c:pt idx="375">
                  <c:v>7.3129999999999997</c:v>
                </c:pt>
                <c:pt idx="376">
                  <c:v>6.649</c:v>
                </c:pt>
                <c:pt idx="377">
                  <c:v>6.7939999999999996</c:v>
                </c:pt>
                <c:pt idx="378">
                  <c:v>6.38</c:v>
                </c:pt>
                <c:pt idx="379">
                  <c:v>6.2229999999999999</c:v>
                </c:pt>
                <c:pt idx="380">
                  <c:v>6.968</c:v>
                </c:pt>
                <c:pt idx="381">
                  <c:v>6.5449999999999999</c:v>
                </c:pt>
                <c:pt idx="382">
                  <c:v>5.5359999999999996</c:v>
                </c:pt>
                <c:pt idx="383">
                  <c:v>5.52</c:v>
                </c:pt>
                <c:pt idx="384">
                  <c:v>4.3680000000000003</c:v>
                </c:pt>
                <c:pt idx="385">
                  <c:v>5.2770000000000001</c:v>
                </c:pt>
                <c:pt idx="386">
                  <c:v>4.6520000000000001</c:v>
                </c:pt>
                <c:pt idx="387">
                  <c:v>5</c:v>
                </c:pt>
                <c:pt idx="388">
                  <c:v>4.88</c:v>
                </c:pt>
                <c:pt idx="389">
                  <c:v>5.39</c:v>
                </c:pt>
                <c:pt idx="390">
                  <c:v>5.7130000000000001</c:v>
                </c:pt>
                <c:pt idx="391">
                  <c:v>6.0510000000000002</c:v>
                </c:pt>
                <c:pt idx="392">
                  <c:v>5.0359999999999996</c:v>
                </c:pt>
                <c:pt idx="393">
                  <c:v>6.1929999999999996</c:v>
                </c:pt>
                <c:pt idx="394">
                  <c:v>5.8869999999999996</c:v>
                </c:pt>
                <c:pt idx="395">
                  <c:v>6.4710000000000001</c:v>
                </c:pt>
                <c:pt idx="396">
                  <c:v>6.4050000000000002</c:v>
                </c:pt>
                <c:pt idx="397">
                  <c:v>5.7469999999999999</c:v>
                </c:pt>
                <c:pt idx="398">
                  <c:v>5.4530000000000003</c:v>
                </c:pt>
                <c:pt idx="399">
                  <c:v>5.8520000000000003</c:v>
                </c:pt>
                <c:pt idx="400">
                  <c:v>5.9870000000000001</c:v>
                </c:pt>
                <c:pt idx="401">
                  <c:v>6.343</c:v>
                </c:pt>
                <c:pt idx="402">
                  <c:v>6.4039999999999999</c:v>
                </c:pt>
                <c:pt idx="403">
                  <c:v>5.3490000000000002</c:v>
                </c:pt>
                <c:pt idx="404">
                  <c:v>5.5309999999999997</c:v>
                </c:pt>
                <c:pt idx="405">
                  <c:v>5.6829999999999998</c:v>
                </c:pt>
                <c:pt idx="406">
                  <c:v>4.1379999999999999</c:v>
                </c:pt>
                <c:pt idx="407">
                  <c:v>5.6079999999999997</c:v>
                </c:pt>
                <c:pt idx="408">
                  <c:v>5.617</c:v>
                </c:pt>
                <c:pt idx="409">
                  <c:v>6.8520000000000003</c:v>
                </c:pt>
                <c:pt idx="410">
                  <c:v>5.7569999999999997</c:v>
                </c:pt>
                <c:pt idx="411">
                  <c:v>6.657</c:v>
                </c:pt>
                <c:pt idx="412">
                  <c:v>4.6280000000000001</c:v>
                </c:pt>
                <c:pt idx="413">
                  <c:v>5.1550000000000002</c:v>
                </c:pt>
                <c:pt idx="414">
                  <c:v>4.5190000000000001</c:v>
                </c:pt>
                <c:pt idx="415">
                  <c:v>6.4340000000000002</c:v>
                </c:pt>
                <c:pt idx="416">
                  <c:v>6.782</c:v>
                </c:pt>
                <c:pt idx="417">
                  <c:v>5.3040000000000003</c:v>
                </c:pt>
                <c:pt idx="418">
                  <c:v>5.9569999999999999</c:v>
                </c:pt>
                <c:pt idx="419">
                  <c:v>6.8239999999999998</c:v>
                </c:pt>
                <c:pt idx="420">
                  <c:v>6.4109999999999996</c:v>
                </c:pt>
                <c:pt idx="421">
                  <c:v>6.0060000000000002</c:v>
                </c:pt>
                <c:pt idx="422">
                  <c:v>5.6479999999999997</c:v>
                </c:pt>
                <c:pt idx="423">
                  <c:v>6.1029999999999998</c:v>
                </c:pt>
                <c:pt idx="424">
                  <c:v>5.5650000000000004</c:v>
                </c:pt>
                <c:pt idx="425">
                  <c:v>5.8959999999999999</c:v>
                </c:pt>
                <c:pt idx="426">
                  <c:v>5.8369999999999997</c:v>
                </c:pt>
                <c:pt idx="427">
                  <c:v>6.202</c:v>
                </c:pt>
                <c:pt idx="428">
                  <c:v>6.1929999999999996</c:v>
                </c:pt>
                <c:pt idx="429">
                  <c:v>6.38</c:v>
                </c:pt>
                <c:pt idx="430">
                  <c:v>6.3479999999999999</c:v>
                </c:pt>
                <c:pt idx="431">
                  <c:v>6.8330000000000002</c:v>
                </c:pt>
                <c:pt idx="432">
                  <c:v>6.4249999999999998</c:v>
                </c:pt>
                <c:pt idx="433">
                  <c:v>6.4359999999999999</c:v>
                </c:pt>
                <c:pt idx="434">
                  <c:v>6.2080000000000002</c:v>
                </c:pt>
                <c:pt idx="435">
                  <c:v>6.6289999999999996</c:v>
                </c:pt>
                <c:pt idx="436">
                  <c:v>6.4610000000000003</c:v>
                </c:pt>
                <c:pt idx="437">
                  <c:v>6.1520000000000001</c:v>
                </c:pt>
                <c:pt idx="438">
                  <c:v>5.9349999999999996</c:v>
                </c:pt>
                <c:pt idx="439">
                  <c:v>5.6269999999999998</c:v>
                </c:pt>
                <c:pt idx="440">
                  <c:v>5.8179999999999996</c:v>
                </c:pt>
                <c:pt idx="441">
                  <c:v>6.4059999999999997</c:v>
                </c:pt>
                <c:pt idx="442">
                  <c:v>6.2190000000000003</c:v>
                </c:pt>
                <c:pt idx="443">
                  <c:v>6.4850000000000003</c:v>
                </c:pt>
                <c:pt idx="444">
                  <c:v>5.8540000000000001</c:v>
                </c:pt>
                <c:pt idx="445">
                  <c:v>6.4589999999999996</c:v>
                </c:pt>
                <c:pt idx="446">
                  <c:v>6.3410000000000002</c:v>
                </c:pt>
                <c:pt idx="447">
                  <c:v>6.2510000000000003</c:v>
                </c:pt>
                <c:pt idx="448">
                  <c:v>6.1849999999999996</c:v>
                </c:pt>
                <c:pt idx="449">
                  <c:v>6.4169999999999998</c:v>
                </c:pt>
                <c:pt idx="450">
                  <c:v>6.7489999999999997</c:v>
                </c:pt>
                <c:pt idx="451">
                  <c:v>6.6550000000000002</c:v>
                </c:pt>
                <c:pt idx="452">
                  <c:v>6.2969999999999997</c:v>
                </c:pt>
                <c:pt idx="453">
                  <c:v>7.3929999999999998</c:v>
                </c:pt>
                <c:pt idx="454">
                  <c:v>6.7279999999999998</c:v>
                </c:pt>
                <c:pt idx="455">
                  <c:v>6.5250000000000004</c:v>
                </c:pt>
                <c:pt idx="456">
                  <c:v>5.976</c:v>
                </c:pt>
                <c:pt idx="457">
                  <c:v>5.9359999999999999</c:v>
                </c:pt>
                <c:pt idx="458">
                  <c:v>6.3010000000000002</c:v>
                </c:pt>
                <c:pt idx="459">
                  <c:v>6.0810000000000004</c:v>
                </c:pt>
                <c:pt idx="460">
                  <c:v>6.7009999999999996</c:v>
                </c:pt>
                <c:pt idx="461">
                  <c:v>6.3760000000000003</c:v>
                </c:pt>
                <c:pt idx="462">
                  <c:v>6.3170000000000002</c:v>
                </c:pt>
                <c:pt idx="463">
                  <c:v>6.5129999999999999</c:v>
                </c:pt>
                <c:pt idx="464">
                  <c:v>6.2089999999999996</c:v>
                </c:pt>
                <c:pt idx="465">
                  <c:v>5.7590000000000003</c:v>
                </c:pt>
                <c:pt idx="466">
                  <c:v>5.952</c:v>
                </c:pt>
                <c:pt idx="467">
                  <c:v>6.0030000000000001</c:v>
                </c:pt>
                <c:pt idx="468">
                  <c:v>5.9260000000000002</c:v>
                </c:pt>
                <c:pt idx="469">
                  <c:v>5.7130000000000001</c:v>
                </c:pt>
                <c:pt idx="470">
                  <c:v>6.1669999999999998</c:v>
                </c:pt>
                <c:pt idx="471">
                  <c:v>6.2290000000000001</c:v>
                </c:pt>
                <c:pt idx="472">
                  <c:v>6.4370000000000003</c:v>
                </c:pt>
                <c:pt idx="473">
                  <c:v>6.98</c:v>
                </c:pt>
                <c:pt idx="474">
                  <c:v>5.4269999999999996</c:v>
                </c:pt>
                <c:pt idx="475">
                  <c:v>6.1619999999999999</c:v>
                </c:pt>
                <c:pt idx="476">
                  <c:v>6.484</c:v>
                </c:pt>
                <c:pt idx="477">
                  <c:v>5.3040000000000003</c:v>
                </c:pt>
                <c:pt idx="478">
                  <c:v>6.1849999999999996</c:v>
                </c:pt>
                <c:pt idx="479">
                  <c:v>6.2290000000000001</c:v>
                </c:pt>
                <c:pt idx="480">
                  <c:v>6.242</c:v>
                </c:pt>
                <c:pt idx="481">
                  <c:v>6.75</c:v>
                </c:pt>
                <c:pt idx="482">
                  <c:v>7.0609999999999999</c:v>
                </c:pt>
                <c:pt idx="483">
                  <c:v>5.7619999999999996</c:v>
                </c:pt>
                <c:pt idx="484">
                  <c:v>5.8710000000000004</c:v>
                </c:pt>
                <c:pt idx="485">
                  <c:v>6.3120000000000003</c:v>
                </c:pt>
                <c:pt idx="486">
                  <c:v>6.1139999999999999</c:v>
                </c:pt>
                <c:pt idx="487">
                  <c:v>5.9050000000000002</c:v>
                </c:pt>
                <c:pt idx="488">
                  <c:v>5.4539999999999997</c:v>
                </c:pt>
                <c:pt idx="489">
                  <c:v>5.4139999999999997</c:v>
                </c:pt>
                <c:pt idx="490">
                  <c:v>5.093</c:v>
                </c:pt>
                <c:pt idx="491">
                  <c:v>5.9829999999999997</c:v>
                </c:pt>
                <c:pt idx="492">
                  <c:v>5.9829999999999997</c:v>
                </c:pt>
                <c:pt idx="493">
                  <c:v>5.7069999999999999</c:v>
                </c:pt>
                <c:pt idx="494">
                  <c:v>5.9260000000000002</c:v>
                </c:pt>
                <c:pt idx="495">
                  <c:v>5.67</c:v>
                </c:pt>
                <c:pt idx="496">
                  <c:v>5.39</c:v>
                </c:pt>
                <c:pt idx="497">
                  <c:v>5.7939999999999996</c:v>
                </c:pt>
                <c:pt idx="498">
                  <c:v>6.0190000000000001</c:v>
                </c:pt>
                <c:pt idx="499">
                  <c:v>5.569</c:v>
                </c:pt>
                <c:pt idx="500">
                  <c:v>6.0270000000000001</c:v>
                </c:pt>
                <c:pt idx="501">
                  <c:v>6.593</c:v>
                </c:pt>
                <c:pt idx="502">
                  <c:v>6.12</c:v>
                </c:pt>
                <c:pt idx="503">
                  <c:v>6.976</c:v>
                </c:pt>
                <c:pt idx="504">
                  <c:v>6.7939999999999996</c:v>
                </c:pt>
                <c:pt idx="505">
                  <c:v>6.03</c:v>
                </c:pt>
              </c:numCache>
            </c:numRef>
          </c:xVal>
          <c:yVal>
            <c:numRef>
              <c:f>'Regression Q.6'!$C$26:$C$531</c:f>
              <c:numCache>
                <c:formatCode>General</c:formatCode>
                <c:ptCount val="506"/>
                <c:pt idx="0">
                  <c:v>-4941.0136806024821</c:v>
                </c:pt>
                <c:pt idx="1">
                  <c:v>-3884.2056605590769</c:v>
                </c:pt>
                <c:pt idx="2">
                  <c:v>2040.925231420304</c:v>
                </c:pt>
                <c:pt idx="3">
                  <c:v>993.48000016513834</c:v>
                </c:pt>
                <c:pt idx="4">
                  <c:v>4569.5930093424577</c:v>
                </c:pt>
                <c:pt idx="5">
                  <c:v>645.47299400246993</c:v>
                </c:pt>
                <c:pt idx="6">
                  <c:v>1612.9215446977578</c:v>
                </c:pt>
                <c:pt idx="7">
                  <c:v>9314.4034733244589</c:v>
                </c:pt>
                <c:pt idx="8">
                  <c:v>8395.3066160022427</c:v>
                </c:pt>
                <c:pt idx="9">
                  <c:v>653.49326949253737</c:v>
                </c:pt>
                <c:pt idx="10">
                  <c:v>-2994.9622289471663</c:v>
                </c:pt>
                <c:pt idx="11">
                  <c:v>-1832.2130905841659</c:v>
                </c:pt>
                <c:pt idx="12">
                  <c:v>3146.5158030918938</c:v>
                </c:pt>
                <c:pt idx="13">
                  <c:v>-3244.7410660870592</c:v>
                </c:pt>
                <c:pt idx="14">
                  <c:v>-4908.9582312962739</c:v>
                </c:pt>
                <c:pt idx="15">
                  <c:v>-3023.9451976970886</c:v>
                </c:pt>
                <c:pt idx="16">
                  <c:v>-1552.5760358364823</c:v>
                </c:pt>
                <c:pt idx="17">
                  <c:v>-2236.110450939992</c:v>
                </c:pt>
                <c:pt idx="18">
                  <c:v>1270.2784966482177</c:v>
                </c:pt>
                <c:pt idx="19">
                  <c:v>-2373.7759641470766</c:v>
                </c:pt>
                <c:pt idx="20">
                  <c:v>82.675924931578265</c:v>
                </c:pt>
                <c:pt idx="21">
                  <c:v>-548.32175209664274</c:v>
                </c:pt>
                <c:pt idx="22">
                  <c:v>-2708.9669708704241</c:v>
                </c:pt>
                <c:pt idx="23">
                  <c:v>-987.64605630050755</c:v>
                </c:pt>
                <c:pt idx="24">
                  <c:v>-2752.8103591558465</c:v>
                </c:pt>
                <c:pt idx="25">
                  <c:v>-2662.1090140552042</c:v>
                </c:pt>
                <c:pt idx="26">
                  <c:v>-2144.40281091824</c:v>
                </c:pt>
                <c:pt idx="27">
                  <c:v>-3549.9581136699926</c:v>
                </c:pt>
                <c:pt idx="28">
                  <c:v>-5110.1884680664662</c:v>
                </c:pt>
                <c:pt idx="29">
                  <c:v>-3948.889351342892</c:v>
                </c:pt>
                <c:pt idx="30">
                  <c:v>-530.95258872282102</c:v>
                </c:pt>
                <c:pt idx="31">
                  <c:v>-6700.9271504735189</c:v>
                </c:pt>
                <c:pt idx="32">
                  <c:v>2044.0337469769147</c:v>
                </c:pt>
                <c:pt idx="33">
                  <c:v>-2799.8380534483294</c:v>
                </c:pt>
                <c:pt idx="34">
                  <c:v>-3133.9862221154544</c:v>
                </c:pt>
                <c:pt idx="35">
                  <c:v>-3751.0756237110108</c:v>
                </c:pt>
                <c:pt idx="36">
                  <c:v>-1071.0752109097084</c:v>
                </c:pt>
                <c:pt idx="37">
                  <c:v>-1812.7543051732355</c:v>
                </c:pt>
                <c:pt idx="38">
                  <c:v>2169.8576232157393</c:v>
                </c:pt>
                <c:pt idx="39">
                  <c:v>1333.1340591096669</c:v>
                </c:pt>
                <c:pt idx="40">
                  <c:v>1744.351511698027</c:v>
                </c:pt>
                <c:pt idx="41">
                  <c:v>-3424.4275043422858</c:v>
                </c:pt>
                <c:pt idx="42">
                  <c:v>-1039.3723415392124</c:v>
                </c:pt>
                <c:pt idx="43">
                  <c:v>-806.3093520634211</c:v>
                </c:pt>
                <c:pt idx="44">
                  <c:v>-2227.473373032517</c:v>
                </c:pt>
                <c:pt idx="45">
                  <c:v>-1731.8339224931515</c:v>
                </c:pt>
                <c:pt idx="46">
                  <c:v>969.19996405771963</c:v>
                </c:pt>
                <c:pt idx="47">
                  <c:v>-686.96204988519457</c:v>
                </c:pt>
                <c:pt idx="48">
                  <c:v>8042.5727625031541</c:v>
                </c:pt>
                <c:pt idx="49">
                  <c:v>2623.4755383761076</c:v>
                </c:pt>
                <c:pt idx="50">
                  <c:v>-682.22834314074134</c:v>
                </c:pt>
                <c:pt idx="51">
                  <c:v>-3238.9166204212961</c:v>
                </c:pt>
                <c:pt idx="52">
                  <c:v>-3422.2397493317039</c:v>
                </c:pt>
                <c:pt idx="53">
                  <c:v>-385.18476049805031</c:v>
                </c:pt>
                <c:pt idx="54">
                  <c:v>-232.93549308592264</c:v>
                </c:pt>
                <c:pt idx="55">
                  <c:v>2915.8983011331875</c:v>
                </c:pt>
                <c:pt idx="56">
                  <c:v>-2755.3513035569995</c:v>
                </c:pt>
                <c:pt idx="57">
                  <c:v>769.51333090095795</c:v>
                </c:pt>
                <c:pt idx="58">
                  <c:v>-2242.6211789588015</c:v>
                </c:pt>
                <c:pt idx="59">
                  <c:v>-3315.9917295572886</c:v>
                </c:pt>
                <c:pt idx="60">
                  <c:v>-743.89291089126345</c:v>
                </c:pt>
                <c:pt idx="61">
                  <c:v>-3761.5779561920644</c:v>
                </c:pt>
                <c:pt idx="62">
                  <c:v>-5010.6068255392092</c:v>
                </c:pt>
                <c:pt idx="63">
                  <c:v>-1990.2793628899453</c:v>
                </c:pt>
                <c:pt idx="64">
                  <c:v>3335.8835618129669</c:v>
                </c:pt>
                <c:pt idx="65">
                  <c:v>-4188.1301886822439</c:v>
                </c:pt>
                <c:pt idx="66">
                  <c:v>-2147.5159108211665</c:v>
                </c:pt>
                <c:pt idx="67">
                  <c:v>-1385.7884526782254</c:v>
                </c:pt>
                <c:pt idx="68">
                  <c:v>-1333.5005772484437</c:v>
                </c:pt>
                <c:pt idx="69">
                  <c:v>-2078.2247179401311</c:v>
                </c:pt>
                <c:pt idx="70">
                  <c:v>-2818.3336774925228</c:v>
                </c:pt>
                <c:pt idx="71">
                  <c:v>-965.25802042360738</c:v>
                </c:pt>
                <c:pt idx="72">
                  <c:v>-3195.7983080990161</c:v>
                </c:pt>
                <c:pt idx="73">
                  <c:v>-2215.2963101064488</c:v>
                </c:pt>
                <c:pt idx="74">
                  <c:v>-2146.1427076934087</c:v>
                </c:pt>
                <c:pt idx="75">
                  <c:v>-3524.8809495224632</c:v>
                </c:pt>
                <c:pt idx="76">
                  <c:v>-2942.8716808723984</c:v>
                </c:pt>
                <c:pt idx="77">
                  <c:v>-2526.7053192646381</c:v>
                </c:pt>
                <c:pt idx="78">
                  <c:v>-1265.7440619382542</c:v>
                </c:pt>
                <c:pt idx="79">
                  <c:v>-2423.0509664967503</c:v>
                </c:pt>
                <c:pt idx="80">
                  <c:v>-1516.2903706059587</c:v>
                </c:pt>
                <c:pt idx="81">
                  <c:v>-3826.3016832064386</c:v>
                </c:pt>
                <c:pt idx="82">
                  <c:v>-1632.4330592938168</c:v>
                </c:pt>
                <c:pt idx="83">
                  <c:v>-2337.1735973555224</c:v>
                </c:pt>
                <c:pt idx="84">
                  <c:v>-1112.8404446231252</c:v>
                </c:pt>
                <c:pt idx="85">
                  <c:v>-1625.5716016625884</c:v>
                </c:pt>
                <c:pt idx="86">
                  <c:v>1473.8512644697221</c:v>
                </c:pt>
                <c:pt idx="87">
                  <c:v>-2205.4200992290062</c:v>
                </c:pt>
                <c:pt idx="88">
                  <c:v>-7207.9357560289172</c:v>
                </c:pt>
                <c:pt idx="89">
                  <c:v>-2346.2888240523243</c:v>
                </c:pt>
                <c:pt idx="90">
                  <c:v>-3075.8047589222915</c:v>
                </c:pt>
                <c:pt idx="91">
                  <c:v>-4006.5058869991735</c:v>
                </c:pt>
                <c:pt idx="92">
                  <c:v>-3320.7073757893886</c:v>
                </c:pt>
                <c:pt idx="93">
                  <c:v>-1296.4101031837017</c:v>
                </c:pt>
                <c:pt idx="94">
                  <c:v>-3076.4825425991985</c:v>
                </c:pt>
                <c:pt idx="95">
                  <c:v>276.98533836839124</c:v>
                </c:pt>
                <c:pt idx="96">
                  <c:v>-1356.5620252631634</c:v>
                </c:pt>
                <c:pt idx="97">
                  <c:v>1652.7571534307426</c:v>
                </c:pt>
                <c:pt idx="98">
                  <c:v>7610.2500276142964</c:v>
                </c:pt>
                <c:pt idx="99">
                  <c:v>751.52320900588165</c:v>
                </c:pt>
                <c:pt idx="100">
                  <c:v>636.64954982229756</c:v>
                </c:pt>
                <c:pt idx="101">
                  <c:v>-1762.5960862590982</c:v>
                </c:pt>
                <c:pt idx="102">
                  <c:v>-5845.5751347859405</c:v>
                </c:pt>
                <c:pt idx="103">
                  <c:v>-1975.1450357577414</c:v>
                </c:pt>
                <c:pt idx="104">
                  <c:v>-2041.0064262988199</c:v>
                </c:pt>
                <c:pt idx="105">
                  <c:v>1628.3100805222239</c:v>
                </c:pt>
                <c:pt idx="106">
                  <c:v>3111.4966522819086</c:v>
                </c:pt>
                <c:pt idx="107">
                  <c:v>-406.66423865569232</c:v>
                </c:pt>
                <c:pt idx="108">
                  <c:v>-3943.6478375447841</c:v>
                </c:pt>
                <c:pt idx="109">
                  <c:v>-988.48944506159023</c:v>
                </c:pt>
                <c:pt idx="110">
                  <c:v>-153.28040591668105</c:v>
                </c:pt>
                <c:pt idx="111">
                  <c:v>-3526.867827025002</c:v>
                </c:pt>
                <c:pt idx="112">
                  <c:v>445.42005858987977</c:v>
                </c:pt>
                <c:pt idx="113">
                  <c:v>-1.2716564715228742</c:v>
                </c:pt>
                <c:pt idx="114">
                  <c:v>-5291.8866493150599</c:v>
                </c:pt>
                <c:pt idx="115">
                  <c:v>-420.06301158502174</c:v>
                </c:pt>
                <c:pt idx="116">
                  <c:v>-1173.1434350886484</c:v>
                </c:pt>
                <c:pt idx="117">
                  <c:v>-3501.1547991012667</c:v>
                </c:pt>
                <c:pt idx="118">
                  <c:v>1714.725365182614</c:v>
                </c:pt>
                <c:pt idx="119">
                  <c:v>202.53980270439934</c:v>
                </c:pt>
                <c:pt idx="120">
                  <c:v>2682.5566069071574</c:v>
                </c:pt>
                <c:pt idx="121">
                  <c:v>235.61918358164985</c:v>
                </c:pt>
                <c:pt idx="122">
                  <c:v>3005.7265702416335</c:v>
                </c:pt>
                <c:pt idx="123">
                  <c:v>5145.5196487430549</c:v>
                </c:pt>
                <c:pt idx="124">
                  <c:v>1498.6737679717844</c:v>
                </c:pt>
                <c:pt idx="125">
                  <c:v>1774.198867791536</c:v>
                </c:pt>
                <c:pt idx="126">
                  <c:v>5971.9160472884723</c:v>
                </c:pt>
                <c:pt idx="127">
                  <c:v>-404.21541729682576</c:v>
                </c:pt>
                <c:pt idx="128">
                  <c:v>-3520.4139513766349</c:v>
                </c:pt>
                <c:pt idx="129">
                  <c:v>-1280.195205793234</c:v>
                </c:pt>
                <c:pt idx="130">
                  <c:v>-4250.1529794948365</c:v>
                </c:pt>
                <c:pt idx="131">
                  <c:v>-3396.0427992054174</c:v>
                </c:pt>
                <c:pt idx="132">
                  <c:v>-962.69154752320537</c:v>
                </c:pt>
                <c:pt idx="133">
                  <c:v>-248.93706924356229</c:v>
                </c:pt>
                <c:pt idx="134">
                  <c:v>-1253.1988481850713</c:v>
                </c:pt>
                <c:pt idx="135">
                  <c:v>-1922.8117201170389</c:v>
                </c:pt>
                <c:pt idx="136">
                  <c:v>-659.10154232742934</c:v>
                </c:pt>
                <c:pt idx="137">
                  <c:v>-5051.4807424116734</c:v>
                </c:pt>
                <c:pt idx="138">
                  <c:v>-1486.8207262997712</c:v>
                </c:pt>
                <c:pt idx="139">
                  <c:v>-321.83322963292449</c:v>
                </c:pt>
                <c:pt idx="140">
                  <c:v>-577.57084808112995</c:v>
                </c:pt>
                <c:pt idx="141">
                  <c:v>12291.0821998299</c:v>
                </c:pt>
                <c:pt idx="142">
                  <c:v>4459.1838569317333</c:v>
                </c:pt>
                <c:pt idx="143">
                  <c:v>6071.0793042522055</c:v>
                </c:pt>
                <c:pt idx="144">
                  <c:v>6993.2029346830059</c:v>
                </c:pt>
                <c:pt idx="145">
                  <c:v>1784.7841598783125</c:v>
                </c:pt>
                <c:pt idx="146">
                  <c:v>-1019.9276988067868</c:v>
                </c:pt>
                <c:pt idx="147">
                  <c:v>9830.1888112618544</c:v>
                </c:pt>
                <c:pt idx="148">
                  <c:v>10928.290350898955</c:v>
                </c:pt>
                <c:pt idx="149">
                  <c:v>2021.3307330794651</c:v>
                </c:pt>
                <c:pt idx="150">
                  <c:v>725.23328460843186</c:v>
                </c:pt>
                <c:pt idx="151">
                  <c:v>1956.5572232818886</c:v>
                </c:pt>
                <c:pt idx="152">
                  <c:v>-1091.4215545813786</c:v>
                </c:pt>
                <c:pt idx="153">
                  <c:v>1814.9663070120077</c:v>
                </c:pt>
                <c:pt idx="154">
                  <c:v>-3155.2247303529111</c:v>
                </c:pt>
                <c:pt idx="155">
                  <c:v>-4736.6406874170643</c:v>
                </c:pt>
                <c:pt idx="156">
                  <c:v>-2033.7859268474822</c:v>
                </c:pt>
                <c:pt idx="157">
                  <c:v>10233.584590806466</c:v>
                </c:pt>
                <c:pt idx="158">
                  <c:v>-1116.3470119211925</c:v>
                </c:pt>
                <c:pt idx="159">
                  <c:v>-3761.7688760922538</c:v>
                </c:pt>
                <c:pt idx="160">
                  <c:v>48.818748113841139</c:v>
                </c:pt>
                <c:pt idx="161">
                  <c:v>14314.685515420497</c:v>
                </c:pt>
                <c:pt idx="162">
                  <c:v>12842.064959829542</c:v>
                </c:pt>
                <c:pt idx="163">
                  <c:v>10822.053112746486</c:v>
                </c:pt>
                <c:pt idx="164">
                  <c:v>1710.4349621700676</c:v>
                </c:pt>
                <c:pt idx="165">
                  <c:v>1576.5065783721875</c:v>
                </c:pt>
                <c:pt idx="166">
                  <c:v>13338.42472077335</c:v>
                </c:pt>
                <c:pt idx="167">
                  <c:v>3014.4340056523943</c:v>
                </c:pt>
                <c:pt idx="168">
                  <c:v>94.485048961745633</c:v>
                </c:pt>
                <c:pt idx="169">
                  <c:v>-1687.0635202044796</c:v>
                </c:pt>
                <c:pt idx="170">
                  <c:v>-1904.3758329598786</c:v>
                </c:pt>
                <c:pt idx="171">
                  <c:v>-1771.5097750674686</c:v>
                </c:pt>
                <c:pt idx="172">
                  <c:v>5506.3580931975666</c:v>
                </c:pt>
                <c:pt idx="173">
                  <c:v>-1922.9675540618045</c:v>
                </c:pt>
                <c:pt idx="174">
                  <c:v>300.24435376012843</c:v>
                </c:pt>
                <c:pt idx="175">
                  <c:v>831.56058792872136</c:v>
                </c:pt>
                <c:pt idx="176">
                  <c:v>381.89190537668765</c:v>
                </c:pt>
                <c:pt idx="177">
                  <c:v>-2174.8793868151733</c:v>
                </c:pt>
                <c:pt idx="178">
                  <c:v>753.14691229521486</c:v>
                </c:pt>
                <c:pt idx="179">
                  <c:v>6234.1386857958641</c:v>
                </c:pt>
                <c:pt idx="180">
                  <c:v>6453.4731203868869</c:v>
                </c:pt>
                <c:pt idx="181">
                  <c:v>12326.18169471783</c:v>
                </c:pt>
                <c:pt idx="182">
                  <c:v>5901.2319550032626</c:v>
                </c:pt>
                <c:pt idx="183">
                  <c:v>4069.7746091804511</c:v>
                </c:pt>
                <c:pt idx="184">
                  <c:v>8187.250460385465</c:v>
                </c:pt>
                <c:pt idx="185">
                  <c:v>8057.0544395620782</c:v>
                </c:pt>
                <c:pt idx="186">
                  <c:v>14319.482693921433</c:v>
                </c:pt>
                <c:pt idx="187">
                  <c:v>3096.3743748548768</c:v>
                </c:pt>
                <c:pt idx="188">
                  <c:v>685.99679071737773</c:v>
                </c:pt>
                <c:pt idx="189">
                  <c:v>3114.5325659923183</c:v>
                </c:pt>
                <c:pt idx="190">
                  <c:v>6220.4290373962758</c:v>
                </c:pt>
                <c:pt idx="191">
                  <c:v>537.1571730355281</c:v>
                </c:pt>
                <c:pt idx="192">
                  <c:v>3031.4530795874743</c:v>
                </c:pt>
                <c:pt idx="193">
                  <c:v>1044.7769396340045</c:v>
                </c:pt>
                <c:pt idx="194">
                  <c:v>-374.17753269471723</c:v>
                </c:pt>
                <c:pt idx="195">
                  <c:v>13144.621687929313</c:v>
                </c:pt>
                <c:pt idx="196">
                  <c:v>153.37477373018919</c:v>
                </c:pt>
                <c:pt idx="197">
                  <c:v>980.31986503666849</c:v>
                </c:pt>
                <c:pt idx="198">
                  <c:v>3151.197186506648</c:v>
                </c:pt>
                <c:pt idx="199">
                  <c:v>3651.2806252803712</c:v>
                </c:pt>
                <c:pt idx="200">
                  <c:v>765.45513101966935</c:v>
                </c:pt>
                <c:pt idx="201">
                  <c:v>-1163.0883241733718</c:v>
                </c:pt>
                <c:pt idx="202">
                  <c:v>6884.6706705726683</c:v>
                </c:pt>
                <c:pt idx="203">
                  <c:v>12296.288024349786</c:v>
                </c:pt>
                <c:pt idx="204">
                  <c:v>12276.738148337827</c:v>
                </c:pt>
                <c:pt idx="205">
                  <c:v>927.31188938163541</c:v>
                </c:pt>
                <c:pt idx="206">
                  <c:v>575.31494961965655</c:v>
                </c:pt>
                <c:pt idx="207">
                  <c:v>5996.1054149052688</c:v>
                </c:pt>
                <c:pt idx="208">
                  <c:v>4280.4516548766624</c:v>
                </c:pt>
                <c:pt idx="209">
                  <c:v>8963.7797612769828</c:v>
                </c:pt>
                <c:pt idx="210">
                  <c:v>3786.8648576248452</c:v>
                </c:pt>
                <c:pt idx="211">
                  <c:v>8529.7913996940697</c:v>
                </c:pt>
                <c:pt idx="212">
                  <c:v>4469.8430847656127</c:v>
                </c:pt>
                <c:pt idx="213">
                  <c:v>3004.3205869390003</c:v>
                </c:pt>
                <c:pt idx="214">
                  <c:v>16466.969017559179</c:v>
                </c:pt>
                <c:pt idx="215">
                  <c:v>945.4269179979201</c:v>
                </c:pt>
                <c:pt idx="216">
                  <c:v>3338.4222557391477</c:v>
                </c:pt>
                <c:pt idx="217">
                  <c:v>2443.143278736814</c:v>
                </c:pt>
                <c:pt idx="218">
                  <c:v>4050.2508667425573</c:v>
                </c:pt>
                <c:pt idx="219">
                  <c:v>-1366.0485027389077</c:v>
                </c:pt>
                <c:pt idx="220">
                  <c:v>-1118.2990417382898</c:v>
                </c:pt>
                <c:pt idx="221">
                  <c:v>5439.0095293030918</c:v>
                </c:pt>
                <c:pt idx="222">
                  <c:v>189.84452666764992</c:v>
                </c:pt>
                <c:pt idx="223">
                  <c:v>2622.8892717906638</c:v>
                </c:pt>
                <c:pt idx="224">
                  <c:v>6704.1188371193493</c:v>
                </c:pt>
                <c:pt idx="225">
                  <c:v>9880.3667360885011</c:v>
                </c:pt>
                <c:pt idx="226">
                  <c:v>6.7590039928472834</c:v>
                </c:pt>
                <c:pt idx="227">
                  <c:v>549.70548586452787</c:v>
                </c:pt>
                <c:pt idx="228">
                  <c:v>11417.777034500847</c:v>
                </c:pt>
                <c:pt idx="229">
                  <c:v>1892.4892752594242</c:v>
                </c:pt>
                <c:pt idx="230">
                  <c:v>2669.820471501771</c:v>
                </c:pt>
                <c:pt idx="231">
                  <c:v>-1331.9144732462519</c:v>
                </c:pt>
                <c:pt idx="232">
                  <c:v>2169.6504720437661</c:v>
                </c:pt>
                <c:pt idx="233">
                  <c:v>10178.871725315366</c:v>
                </c:pt>
                <c:pt idx="234">
                  <c:v>1261.7134198921776</c:v>
                </c:pt>
                <c:pt idx="235">
                  <c:v>1340.2518157784507</c:v>
                </c:pt>
                <c:pt idx="236">
                  <c:v>-1197.1678035720979</c:v>
                </c:pt>
                <c:pt idx="237">
                  <c:v>-1590.8222558990237</c:v>
                </c:pt>
                <c:pt idx="238">
                  <c:v>-3875.6491088179464</c:v>
                </c:pt>
                <c:pt idx="239">
                  <c:v>-4263.7156892734492</c:v>
                </c:pt>
                <c:pt idx="240">
                  <c:v>-4470.4420723964213</c:v>
                </c:pt>
                <c:pt idx="241">
                  <c:v>-1629.2166080294992</c:v>
                </c:pt>
                <c:pt idx="242">
                  <c:v>-1627.1286823180817</c:v>
                </c:pt>
                <c:pt idx="243">
                  <c:v>-4178.8670172619604</c:v>
                </c:pt>
                <c:pt idx="244">
                  <c:v>-1507.3972064681438</c:v>
                </c:pt>
                <c:pt idx="245">
                  <c:v>3159.9210098148269</c:v>
                </c:pt>
                <c:pt idx="246">
                  <c:v>423.31014522314945</c:v>
                </c:pt>
                <c:pt idx="247">
                  <c:v>-3341.9400860268797</c:v>
                </c:pt>
                <c:pt idx="248">
                  <c:v>-801.24694935834486</c:v>
                </c:pt>
                <c:pt idx="249">
                  <c:v>-2454.6421942568777</c:v>
                </c:pt>
                <c:pt idx="250">
                  <c:v>-3501.7026704762611</c:v>
                </c:pt>
                <c:pt idx="251">
                  <c:v>-4335.9058113477076</c:v>
                </c:pt>
                <c:pt idx="252">
                  <c:v>-2218.6422752730286</c:v>
                </c:pt>
                <c:pt idx="253">
                  <c:v>4354.3673524632322</c:v>
                </c:pt>
                <c:pt idx="254">
                  <c:v>-3640.3979404691454</c:v>
                </c:pt>
                <c:pt idx="255">
                  <c:v>-1736.8867923288053</c:v>
                </c:pt>
                <c:pt idx="256">
                  <c:v>9379.4575961291775</c:v>
                </c:pt>
                <c:pt idx="257">
                  <c:v>10302.112867539188</c:v>
                </c:pt>
                <c:pt idx="258">
                  <c:v>5002.1639464964246</c:v>
                </c:pt>
                <c:pt idx="259">
                  <c:v>1032.0059293283921</c:v>
                </c:pt>
                <c:pt idx="260">
                  <c:v>4620.7313860996037</c:v>
                </c:pt>
                <c:pt idx="261">
                  <c:v>10808.988676276102</c:v>
                </c:pt>
                <c:pt idx="262">
                  <c:v>11168.58107479904</c:v>
                </c:pt>
                <c:pt idx="263">
                  <c:v>2255.2925108871277</c:v>
                </c:pt>
                <c:pt idx="264">
                  <c:v>6348.3331041228412</c:v>
                </c:pt>
                <c:pt idx="265">
                  <c:v>2543.8962118144991</c:v>
                </c:pt>
                <c:pt idx="266">
                  <c:v>5823.9096532086842</c:v>
                </c:pt>
                <c:pt idx="267">
                  <c:v>13865.962912610543</c:v>
                </c:pt>
                <c:pt idx="268">
                  <c:v>8830.0589050920025</c:v>
                </c:pt>
                <c:pt idx="269">
                  <c:v>665.31920703455762</c:v>
                </c:pt>
                <c:pt idx="270">
                  <c:v>973.85272077340778</c:v>
                </c:pt>
                <c:pt idx="271">
                  <c:v>-1000.0627877166917</c:v>
                </c:pt>
                <c:pt idx="272">
                  <c:v>-2586.021106010674</c:v>
                </c:pt>
                <c:pt idx="273">
                  <c:v>1600.9762636685409</c:v>
                </c:pt>
                <c:pt idx="274">
                  <c:v>1595.2205336099432</c:v>
                </c:pt>
                <c:pt idx="275">
                  <c:v>352.82380327935971</c:v>
                </c:pt>
                <c:pt idx="276">
                  <c:v>1420.7164518778445</c:v>
                </c:pt>
                <c:pt idx="277">
                  <c:v>2353.4607012488632</c:v>
                </c:pt>
                <c:pt idx="278">
                  <c:v>2052.4135206203428</c:v>
                </c:pt>
                <c:pt idx="279">
                  <c:v>4868.014983658024</c:v>
                </c:pt>
                <c:pt idx="280">
                  <c:v>9332.2981111206827</c:v>
                </c:pt>
                <c:pt idx="281">
                  <c:v>4206.2148911980476</c:v>
                </c:pt>
                <c:pt idx="282">
                  <c:v>10342.117257696482</c:v>
                </c:pt>
                <c:pt idx="283">
                  <c:v>13022.119948187545</c:v>
                </c:pt>
                <c:pt idx="284">
                  <c:v>2488.9285027135302</c:v>
                </c:pt>
                <c:pt idx="285">
                  <c:v>-4231.784960220004</c:v>
                </c:pt>
                <c:pt idx="286">
                  <c:v>-1976.5630687655503</c:v>
                </c:pt>
                <c:pt idx="287">
                  <c:v>-2488.8272763679852</c:v>
                </c:pt>
                <c:pt idx="288">
                  <c:v>-3633.3899689553655</c:v>
                </c:pt>
                <c:pt idx="289">
                  <c:v>-1180.1825466332157</c:v>
                </c:pt>
                <c:pt idx="290">
                  <c:v>-2958.014295625544</c:v>
                </c:pt>
                <c:pt idx="291">
                  <c:v>4527.5239697460202</c:v>
                </c:pt>
                <c:pt idx="292">
                  <c:v>-1501.0873533293452</c:v>
                </c:pt>
                <c:pt idx="293">
                  <c:v>-446.05866034084102</c:v>
                </c:pt>
                <c:pt idx="294">
                  <c:v>-875.78150986481705</c:v>
                </c:pt>
                <c:pt idx="295">
                  <c:v>-37.134591814217856</c:v>
                </c:pt>
                <c:pt idx="296">
                  <c:v>-160.4656074813829</c:v>
                </c:pt>
                <c:pt idx="297">
                  <c:v>2334.4063969929521</c:v>
                </c:pt>
                <c:pt idx="298">
                  <c:v>-5275.6360275475163</c:v>
                </c:pt>
                <c:pt idx="299">
                  <c:v>-2469.3508815219066</c:v>
                </c:pt>
                <c:pt idx="300">
                  <c:v>-4948.9003396400003</c:v>
                </c:pt>
                <c:pt idx="301">
                  <c:v>-4113.9758295840657</c:v>
                </c:pt>
                <c:pt idx="302">
                  <c:v>236.87161150527754</c:v>
                </c:pt>
                <c:pt idx="303">
                  <c:v>2008.3246096632502</c:v>
                </c:pt>
                <c:pt idx="304">
                  <c:v>5043.9302135271209</c:v>
                </c:pt>
                <c:pt idx="305">
                  <c:v>1787.4154323040311</c:v>
                </c:pt>
                <c:pt idx="306">
                  <c:v>1111.0043906568899</c:v>
                </c:pt>
                <c:pt idx="307">
                  <c:v>-498.97183598816628</c:v>
                </c:pt>
                <c:pt idx="308">
                  <c:v>-6729.3386267300921</c:v>
                </c:pt>
                <c:pt idx="309">
                  <c:v>-2363.488438169341</c:v>
                </c:pt>
                <c:pt idx="310">
                  <c:v>241.30151061469769</c:v>
                </c:pt>
                <c:pt idx="311">
                  <c:v>-3890.7163894538971</c:v>
                </c:pt>
                <c:pt idx="312">
                  <c:v>-2399.1955404432774</c:v>
                </c:pt>
                <c:pt idx="313">
                  <c:v>-3891.0378574496281</c:v>
                </c:pt>
                <c:pt idx="314">
                  <c:v>-2338.1145394780324</c:v>
                </c:pt>
                <c:pt idx="315">
                  <c:v>-4120.3717949579623</c:v>
                </c:pt>
                <c:pt idx="316">
                  <c:v>802.12493920310226</c:v>
                </c:pt>
                <c:pt idx="317">
                  <c:v>1939.4005342920573</c:v>
                </c:pt>
                <c:pt idx="318">
                  <c:v>-1401.8317613921099</c:v>
                </c:pt>
                <c:pt idx="319">
                  <c:v>-608.94454144699557</c:v>
                </c:pt>
                <c:pt idx="320">
                  <c:v>-2955.8547689143707</c:v>
                </c:pt>
                <c:pt idx="321">
                  <c:v>-3613.0936199981079</c:v>
                </c:pt>
                <c:pt idx="322">
                  <c:v>-4073.1822278227337</c:v>
                </c:pt>
                <c:pt idx="323">
                  <c:v>-1681.4901586923806</c:v>
                </c:pt>
                <c:pt idx="324">
                  <c:v>-2393.559102070325</c:v>
                </c:pt>
                <c:pt idx="325">
                  <c:v>-3543.1283774336043</c:v>
                </c:pt>
                <c:pt idx="326">
                  <c:v>-3849.5251896563386</c:v>
                </c:pt>
                <c:pt idx="327">
                  <c:v>782.44059813774948</c:v>
                </c:pt>
                <c:pt idx="328">
                  <c:v>-2833.6304877983421</c:v>
                </c:pt>
                <c:pt idx="329">
                  <c:v>-3592.1093195768917</c:v>
                </c:pt>
                <c:pt idx="330">
                  <c:v>-4305.0673056100568</c:v>
                </c:pt>
                <c:pt idx="331">
                  <c:v>-2628.073332095264</c:v>
                </c:pt>
                <c:pt idx="332">
                  <c:v>-4938.7277645276336</c:v>
                </c:pt>
                <c:pt idx="333">
                  <c:v>-4971.8127586884257</c:v>
                </c:pt>
                <c:pt idx="334">
                  <c:v>-5753.9206131411847</c:v>
                </c:pt>
                <c:pt idx="335">
                  <c:v>-3153.6719922697084</c:v>
                </c:pt>
                <c:pt idx="336">
                  <c:v>-2747.9261926041763</c:v>
                </c:pt>
                <c:pt idx="337">
                  <c:v>-3392.1983461713862</c:v>
                </c:pt>
                <c:pt idx="338">
                  <c:v>-3444.578160803052</c:v>
                </c:pt>
                <c:pt idx="339">
                  <c:v>-3877.4630988418648</c:v>
                </c:pt>
                <c:pt idx="340">
                  <c:v>-4379.912953518</c:v>
                </c:pt>
                <c:pt idx="341">
                  <c:v>693.46027229389438</c:v>
                </c:pt>
                <c:pt idx="342">
                  <c:v>-9905.2410144747482</c:v>
                </c:pt>
                <c:pt idx="343">
                  <c:v>-4244.2946913701198</c:v>
                </c:pt>
                <c:pt idx="344">
                  <c:v>497.97212841056898</c:v>
                </c:pt>
                <c:pt idx="345">
                  <c:v>-5017.7488663347649</c:v>
                </c:pt>
                <c:pt idx="346">
                  <c:v>-3352.1066248692841</c:v>
                </c:pt>
                <c:pt idx="347">
                  <c:v>-4653.9666882697202</c:v>
                </c:pt>
                <c:pt idx="348">
                  <c:v>-4097.9190420761042</c:v>
                </c:pt>
                <c:pt idx="349">
                  <c:v>-3610.9704227388247</c:v>
                </c:pt>
                <c:pt idx="350">
                  <c:v>-4965.5983676897449</c:v>
                </c:pt>
                <c:pt idx="351">
                  <c:v>-4533.7900820753166</c:v>
                </c:pt>
                <c:pt idx="352">
                  <c:v>-5015.4882641999284</c:v>
                </c:pt>
                <c:pt idx="353">
                  <c:v>71.151757356841699</c:v>
                </c:pt>
                <c:pt idx="354">
                  <c:v>-4122.5269527580749</c:v>
                </c:pt>
                <c:pt idx="355">
                  <c:v>-4706.4527414073891</c:v>
                </c:pt>
                <c:pt idx="356">
                  <c:v>-1185.0434641274041</c:v>
                </c:pt>
                <c:pt idx="357">
                  <c:v>-998.80125253806909</c:v>
                </c:pt>
                <c:pt idx="358">
                  <c:v>216.78050896713466</c:v>
                </c:pt>
                <c:pt idx="359">
                  <c:v>957.60874648269237</c:v>
                </c:pt>
                <c:pt idx="360">
                  <c:v>-1234.2092881489079</c:v>
                </c:pt>
                <c:pt idx="361">
                  <c:v>-1474.1821152890116</c:v>
                </c:pt>
                <c:pt idx="362">
                  <c:v>1385.6510658096595</c:v>
                </c:pt>
                <c:pt idx="363">
                  <c:v>-2002.6558478963816</c:v>
                </c:pt>
                <c:pt idx="364">
                  <c:v>-18075.89010244888</c:v>
                </c:pt>
                <c:pt idx="365">
                  <c:v>15289.324139470302</c:v>
                </c:pt>
                <c:pt idx="366">
                  <c:v>6965.8567250300748</c:v>
                </c:pt>
                <c:pt idx="367">
                  <c:v>13339.743423856706</c:v>
                </c:pt>
                <c:pt idx="368">
                  <c:v>28131.264699357773</c:v>
                </c:pt>
                <c:pt idx="369">
                  <c:v>19705.801299284016</c:v>
                </c:pt>
                <c:pt idx="370">
                  <c:v>17514.620983131961</c:v>
                </c:pt>
                <c:pt idx="371">
                  <c:v>25810.745626585125</c:v>
                </c:pt>
                <c:pt idx="372">
                  <c:v>27130.535411985205</c:v>
                </c:pt>
                <c:pt idx="373">
                  <c:v>12498.042242387823</c:v>
                </c:pt>
                <c:pt idx="374">
                  <c:v>18466.386083939502</c:v>
                </c:pt>
                <c:pt idx="375">
                  <c:v>-12266.615705337514</c:v>
                </c:pt>
                <c:pt idx="376">
                  <c:v>-3688.5648081455874</c:v>
                </c:pt>
                <c:pt idx="377">
                  <c:v>-6312.0257343626436</c:v>
                </c:pt>
                <c:pt idx="378">
                  <c:v>-2829.0055899491927</c:v>
                </c:pt>
                <c:pt idx="379">
                  <c:v>-6156.0282948146451</c:v>
                </c:pt>
                <c:pt idx="380">
                  <c:v>-12687.222930641041</c:v>
                </c:pt>
                <c:pt idx="381">
                  <c:v>-7546.2008597419081</c:v>
                </c:pt>
                <c:pt idx="382">
                  <c:v>-386.81678125112376</c:v>
                </c:pt>
                <c:pt idx="383">
                  <c:v>1311.3638273726247</c:v>
                </c:pt>
                <c:pt idx="384">
                  <c:v>7579.6746741901843</c:v>
                </c:pt>
                <c:pt idx="385">
                  <c:v>1464.136896592212</c:v>
                </c:pt>
                <c:pt idx="386">
                  <c:v>6323.2128011649074</c:v>
                </c:pt>
                <c:pt idx="387">
                  <c:v>3833.3760026615055</c:v>
                </c:pt>
                <c:pt idx="388">
                  <c:v>6364.7196428674397</c:v>
                </c:pt>
                <c:pt idx="389">
                  <c:v>-1209.4631547093431</c:v>
                </c:pt>
                <c:pt idx="390">
                  <c:v>-1657.4998437230897</c:v>
                </c:pt>
                <c:pt idx="391">
                  <c:v>5780.3530690739681</c:v>
                </c:pt>
                <c:pt idx="392">
                  <c:v>1896.6825461449371</c:v>
                </c:pt>
                <c:pt idx="393">
                  <c:v>-6649.1732446382412</c:v>
                </c:pt>
                <c:pt idx="394">
                  <c:v>-5432.1852870231851</c:v>
                </c:pt>
                <c:pt idx="395">
                  <c:v>-7512.925552507746</c:v>
                </c:pt>
                <c:pt idx="396">
                  <c:v>-6331.3632934922498</c:v>
                </c:pt>
                <c:pt idx="397">
                  <c:v>-6625.6957159645299</c:v>
                </c:pt>
                <c:pt idx="398">
                  <c:v>-1773.8646221847303</c:v>
                </c:pt>
                <c:pt idx="399">
                  <c:v>-2904.9471951663727</c:v>
                </c:pt>
                <c:pt idx="400">
                  <c:v>-6348.2902426330184</c:v>
                </c:pt>
                <c:pt idx="401">
                  <c:v>-10705.246020931459</c:v>
                </c:pt>
                <c:pt idx="402">
                  <c:v>-6122.4516713184275</c:v>
                </c:pt>
                <c:pt idx="403">
                  <c:v>-4894.323848335207</c:v>
                </c:pt>
                <c:pt idx="404">
                  <c:v>-733.22833788663411</c:v>
                </c:pt>
                <c:pt idx="405">
                  <c:v>-7834.012782179956</c:v>
                </c:pt>
                <c:pt idx="406">
                  <c:v>7168.68365394789</c:v>
                </c:pt>
                <c:pt idx="407">
                  <c:v>8478.5083900964855</c:v>
                </c:pt>
                <c:pt idx="408">
                  <c:v>6899.1087279011736</c:v>
                </c:pt>
                <c:pt idx="409">
                  <c:v>6654.6333945494043</c:v>
                </c:pt>
                <c:pt idx="410">
                  <c:v>-6478.1788547428005</c:v>
                </c:pt>
                <c:pt idx="411">
                  <c:v>-1726.8869471934158</c:v>
                </c:pt>
                <c:pt idx="412">
                  <c:v>17757.449968335724</c:v>
                </c:pt>
                <c:pt idx="413">
                  <c:v>4293.1961042417624</c:v>
                </c:pt>
                <c:pt idx="414">
                  <c:v>9089.337111005585</c:v>
                </c:pt>
                <c:pt idx="415">
                  <c:v>-5561.0834695548401</c:v>
                </c:pt>
                <c:pt idx="416">
                  <c:v>-9128.1578577398141</c:v>
                </c:pt>
                <c:pt idx="417">
                  <c:v>1847.9433672171035</c:v>
                </c:pt>
                <c:pt idx="418">
                  <c:v>-6945.9503587043127</c:v>
                </c:pt>
                <c:pt idx="419">
                  <c:v>-10401.331872526542</c:v>
                </c:pt>
                <c:pt idx="420">
                  <c:v>-4956.1907753602281</c:v>
                </c:pt>
                <c:pt idx="421">
                  <c:v>-4955.9979744179254</c:v>
                </c:pt>
                <c:pt idx="422">
                  <c:v>2440.1627891839598</c:v>
                </c:pt>
                <c:pt idx="423">
                  <c:v>-1374.6926519856243</c:v>
                </c:pt>
                <c:pt idx="424">
                  <c:v>-4271.3533053290776</c:v>
                </c:pt>
                <c:pt idx="425">
                  <c:v>-4713.4773715594165</c:v>
                </c:pt>
                <c:pt idx="426">
                  <c:v>-8101.402388407485</c:v>
                </c:pt>
                <c:pt idx="427">
                  <c:v>-10012.559253755957</c:v>
                </c:pt>
                <c:pt idx="428">
                  <c:v>-5370.1978221880199</c:v>
                </c:pt>
                <c:pt idx="429">
                  <c:v>-6178.4858395939846</c:v>
                </c:pt>
                <c:pt idx="430">
                  <c:v>-5152.2402966274094</c:v>
                </c:pt>
                <c:pt idx="431">
                  <c:v>-6706.377883830166</c:v>
                </c:pt>
                <c:pt idx="432">
                  <c:v>-7548.1692265308866</c:v>
                </c:pt>
                <c:pt idx="433">
                  <c:v>-6712.7304738756939</c:v>
                </c:pt>
                <c:pt idx="434">
                  <c:v>-8825.5950644032928</c:v>
                </c:pt>
                <c:pt idx="435">
                  <c:v>-4067.3982984315298</c:v>
                </c:pt>
                <c:pt idx="436">
                  <c:v>-10364.584421817344</c:v>
                </c:pt>
                <c:pt idx="437">
                  <c:v>-4294.4849270066661</c:v>
                </c:pt>
                <c:pt idx="438">
                  <c:v>1373.7366558224239</c:v>
                </c:pt>
                <c:pt idx="439">
                  <c:v>187.05951151847694</c:v>
                </c:pt>
                <c:pt idx="440">
                  <c:v>-3580.6609108577813</c:v>
                </c:pt>
                <c:pt idx="441">
                  <c:v>-1640.1043313399641</c:v>
                </c:pt>
                <c:pt idx="442">
                  <c:v>-1269.488897604333</c:v>
                </c:pt>
                <c:pt idx="443">
                  <c:v>-4172.9726660461238</c:v>
                </c:pt>
                <c:pt idx="444">
                  <c:v>-2384.9112767637598</c:v>
                </c:pt>
                <c:pt idx="445">
                  <c:v>-4345.2099237809853</c:v>
                </c:pt>
                <c:pt idx="446">
                  <c:v>-4620.2230306004349</c:v>
                </c:pt>
                <c:pt idx="447">
                  <c:v>-7328.8758632397221</c:v>
                </c:pt>
                <c:pt idx="448">
                  <c:v>-4407.0342714009239</c:v>
                </c:pt>
                <c:pt idx="449">
                  <c:v>-5931.0422493589358</c:v>
                </c:pt>
                <c:pt idx="450">
                  <c:v>-8423.721945195186</c:v>
                </c:pt>
                <c:pt idx="451">
                  <c:v>-5958.5279577367619</c:v>
                </c:pt>
                <c:pt idx="452">
                  <c:v>-3530.0786930965678</c:v>
                </c:pt>
                <c:pt idx="453">
                  <c:v>-7754.4162410788122</c:v>
                </c:pt>
                <c:pt idx="454">
                  <c:v>-6000.9363130340789</c:v>
                </c:pt>
                <c:pt idx="455">
                  <c:v>-6139.262186075357</c:v>
                </c:pt>
                <c:pt idx="456">
                  <c:v>-4176.9482485397566</c:v>
                </c:pt>
                <c:pt idx="457">
                  <c:v>-4502.8384810516436</c:v>
                </c:pt>
                <c:pt idx="458">
                  <c:v>-5418.5105126478156</c:v>
                </c:pt>
                <c:pt idx="459">
                  <c:v>-180.46540748729603</c:v>
                </c:pt>
                <c:pt idx="460">
                  <c:v>-5834.3776228760398</c:v>
                </c:pt>
                <c:pt idx="461">
                  <c:v>-4015.5457795787806</c:v>
                </c:pt>
                <c:pt idx="462">
                  <c:v>-2338.909789104051</c:v>
                </c:pt>
                <c:pt idx="463">
                  <c:v>-5014.2140707372928</c:v>
                </c:pt>
                <c:pt idx="464">
                  <c:v>-383.28860416367752</c:v>
                </c:pt>
                <c:pt idx="465">
                  <c:v>993.91207294991909</c:v>
                </c:pt>
                <c:pt idx="466">
                  <c:v>1050.5401613902395</c:v>
                </c:pt>
                <c:pt idx="467">
                  <c:v>3569.3402279870934</c:v>
                </c:pt>
                <c:pt idx="468">
                  <c:v>1912.5158165422326</c:v>
                </c:pt>
                <c:pt idx="469">
                  <c:v>1832.9580708032081</c:v>
                </c:pt>
                <c:pt idx="470">
                  <c:v>302.73257730793193</c:v>
                </c:pt>
                <c:pt idx="471">
                  <c:v>-2510.0097808358551</c:v>
                </c:pt>
                <c:pt idx="472">
                  <c:v>987.38823644589138</c:v>
                </c:pt>
                <c:pt idx="473">
                  <c:v>3086.5508584919953</c:v>
                </c:pt>
                <c:pt idx="474">
                  <c:v>-838.76139593138396</c:v>
                </c:pt>
                <c:pt idx="475">
                  <c:v>-1254.9748923237385</c:v>
                </c:pt>
                <c:pt idx="476">
                  <c:v>-2977.0787948832876</c:v>
                </c:pt>
                <c:pt idx="477">
                  <c:v>2336.663448974763</c:v>
                </c:pt>
                <c:pt idx="478">
                  <c:v>-3971.2701048253366</c:v>
                </c:pt>
                <c:pt idx="479">
                  <c:v>-555.84378061726602</c:v>
                </c:pt>
                <c:pt idx="480">
                  <c:v>-544.46527657222759</c:v>
                </c:pt>
                <c:pt idx="481">
                  <c:v>-4359.6925753475771</c:v>
                </c:pt>
                <c:pt idx="482">
                  <c:v>-5113.0932224744574</c:v>
                </c:pt>
                <c:pt idx="483">
                  <c:v>495.47828895119528</c:v>
                </c:pt>
                <c:pt idx="484">
                  <c:v>615.83273465136881</c:v>
                </c:pt>
                <c:pt idx="485">
                  <c:v>-2803.8777689548479</c:v>
                </c:pt>
                <c:pt idx="486">
                  <c:v>-1068.7330773820395</c:v>
                </c:pt>
                <c:pt idx="487">
                  <c:v>-771.44730853748115</c:v>
                </c:pt>
                <c:pt idx="488">
                  <c:v>372.29066175199478</c:v>
                </c:pt>
                <c:pt idx="489">
                  <c:v>-3827.5800634917396</c:v>
                </c:pt>
                <c:pt idx="490">
                  <c:v>2575.712968014268</c:v>
                </c:pt>
                <c:pt idx="491">
                  <c:v>-3916.4285986195937</c:v>
                </c:pt>
                <c:pt idx="492">
                  <c:v>-448.35993625188348</c:v>
                </c:pt>
                <c:pt idx="493">
                  <c:v>1797.0413795378699</c:v>
                </c:pt>
                <c:pt idx="494">
                  <c:v>4396.2089790738901</c:v>
                </c:pt>
                <c:pt idx="495">
                  <c:v>6876.3316233830028</c:v>
                </c:pt>
                <c:pt idx="496">
                  <c:v>7176.8207622214541</c:v>
                </c:pt>
                <c:pt idx="497">
                  <c:v>-803.67625652917923</c:v>
                </c:pt>
                <c:pt idx="498">
                  <c:v>192.01361258702309</c:v>
                </c:pt>
                <c:pt idx="499">
                  <c:v>185.00937419067122</c:v>
                </c:pt>
                <c:pt idx="500">
                  <c:v>-3343.0194400034452</c:v>
                </c:pt>
                <c:pt idx="501">
                  <c:v>-3620.0592767155686</c:v>
                </c:pt>
                <c:pt idx="502">
                  <c:v>-3389.2159773284257</c:v>
                </c:pt>
                <c:pt idx="503">
                  <c:v>-6660.0671617203116</c:v>
                </c:pt>
                <c:pt idx="504">
                  <c:v>-7093.2347478059855</c:v>
                </c:pt>
                <c:pt idx="505">
                  <c:v>-12401.515059831087</c:v>
                </c:pt>
              </c:numCache>
            </c:numRef>
          </c:yVal>
          <c:smooth val="0"/>
          <c:extLst>
            <c:ext xmlns:c16="http://schemas.microsoft.com/office/drawing/2014/chart" uri="{C3380CC4-5D6E-409C-BE32-E72D297353CC}">
              <c16:uniqueId val="{00000003-6A38-4A7B-8DCD-9DAE625BDF5A}"/>
            </c:ext>
          </c:extLst>
        </c:ser>
        <c:dLbls>
          <c:showLegendKey val="0"/>
          <c:showVal val="0"/>
          <c:showCatName val="0"/>
          <c:showSerName val="0"/>
          <c:showPercent val="0"/>
          <c:showBubbleSize val="0"/>
        </c:dLbls>
        <c:axId val="453237647"/>
        <c:axId val="369020623"/>
      </c:scatterChart>
      <c:valAx>
        <c:axId val="453237647"/>
        <c:scaling>
          <c:orientation val="minMax"/>
        </c:scaling>
        <c:delete val="0"/>
        <c:axPos val="b"/>
        <c:title>
          <c:tx>
            <c:rich>
              <a:bodyPr/>
              <a:lstStyle/>
              <a:p>
                <a:pPr>
                  <a:defRPr/>
                </a:pPr>
                <a:r>
                  <a:rPr lang="en-IN"/>
                  <a:t>AVG_ROOM</a:t>
                </a:r>
              </a:p>
            </c:rich>
          </c:tx>
          <c:overlay val="0"/>
        </c:title>
        <c:numFmt formatCode="0" sourceLinked="1"/>
        <c:majorTickMark val="out"/>
        <c:minorTickMark val="none"/>
        <c:tickLblPos val="nextTo"/>
        <c:crossAx val="369020623"/>
        <c:crosses val="autoZero"/>
        <c:crossBetween val="midCat"/>
      </c:valAx>
      <c:valAx>
        <c:axId val="369020623"/>
        <c:scaling>
          <c:orientation val="minMax"/>
        </c:scaling>
        <c:delete val="0"/>
        <c:axPos val="l"/>
        <c:title>
          <c:tx>
            <c:rich>
              <a:bodyPr/>
              <a:lstStyle/>
              <a:p>
                <a:pPr>
                  <a:defRPr/>
                </a:pPr>
                <a:r>
                  <a:rPr lang="en-IN"/>
                  <a:t>Residuals</a:t>
                </a:r>
              </a:p>
            </c:rich>
          </c:tx>
          <c:overlay val="0"/>
        </c:title>
        <c:numFmt formatCode="General" sourceLinked="1"/>
        <c:majorTickMark val="out"/>
        <c:minorTickMark val="none"/>
        <c:tickLblPos val="nextTo"/>
        <c:crossAx val="453237647"/>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Analysis of Price Ranges</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Calibri" panose="020F0502020204030204"/>
            </a:rPr>
            <a:t>Analysis of Price Ranges</a:t>
          </a:r>
        </a:p>
      </cx:txPr>
    </cx:title>
    <cx:plotArea>
      <cx:plotAreaRegion>
        <cx:plotSurface>
          <cx:spPr>
            <a:gradFill flip="none" rotWithShape="1">
              <a:gsLst>
                <a:gs pos="0">
                  <a:schemeClr val="accent2">
                    <a:lumMod val="60000"/>
                    <a:lumOff val="40000"/>
                  </a:schemeClr>
                </a:gs>
                <a:gs pos="100000">
                  <a:schemeClr val="bg1"/>
                </a:gs>
              </a:gsLst>
              <a:lin ang="16200000" scaled="1"/>
              <a:tileRect/>
            </a:gradFill>
          </cx:spPr>
        </cx:plotSurface>
        <cx:series layoutId="clusteredColumn" uniqueId="{9A8C231E-B0F3-4C76-8EED-12A01D5D185F}" formatIdx="0">
          <cx:tx>
            <cx:txData>
              <cx:f>_xlchart.v1.0</cx:f>
              <cx:v>AVG_PRICE </cx:v>
            </cx:txData>
          </cx:tx>
          <cx:spPr>
            <a:gradFill>
              <a:gsLst>
                <a:gs pos="43000">
                  <a:schemeClr val="accent1">
                    <a:lumMod val="60000"/>
                    <a:lumOff val="40000"/>
                  </a:schemeClr>
                </a:gs>
                <a:gs pos="100000">
                  <a:schemeClr val="bg1"/>
                </a:gs>
              </a:gsLst>
              <a:lin ang="16200000" scaled="0"/>
            </a:gradFill>
          </cx:spPr>
          <cx:dataLabels pos="outEnd">
            <cx:spPr>
              <a:noFill/>
            </cx:spPr>
            <cx:txPr>
              <a:bodyPr spcFirstLastPara="1" vertOverflow="ellipsis" horzOverflow="overflow" wrap="square" lIns="0" tIns="0" rIns="0" bIns="0" anchor="ctr" anchorCtr="1"/>
              <a:lstStyle/>
              <a:p>
                <a:pPr algn="ctr" rtl="0">
                  <a:defRPr sz="800" b="1">
                    <a:solidFill>
                      <a:schemeClr val="tx1"/>
                    </a:solidFill>
                  </a:defRPr>
                </a:pPr>
                <a:endParaRPr lang="en-US" sz="800" b="1" i="0" u="none" strike="noStrike" baseline="0">
                  <a:solidFill>
                    <a:schemeClr val="tx1"/>
                  </a:solidFill>
                  <a:latin typeface="Calibri" panose="020F0502020204030204"/>
                </a:endParaRPr>
              </a:p>
            </cx:txPr>
            <cx:visibility seriesName="0" categoryName="0" value="1"/>
            <cx:separator>, </cx:separator>
            <cx:dataLabel idx="3">
              <cx:spPr>
                <a:noFill/>
              </cx:spPr>
            </cx:dataLabel>
            <cx:dataLabel idx="4">
              <cx:spPr>
                <a:noFill/>
              </cx:spPr>
            </cx:dataLabel>
          </cx:dataLabels>
          <cx:dataId val="0"/>
          <cx:layoutPr>
            <cx:binning intervalClosed="r"/>
          </cx:layoutPr>
        </cx:series>
      </cx:plotAreaRegion>
      <cx:axis id="0">
        <cx:catScaling gapWidth="0.0799999982"/>
        <cx:title>
          <cx:tx>
            <cx:txData>
              <cx:v>Price range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 lastClr="FFFFFF">
                      <a:lumMod val="95000"/>
                    </a:sysClr>
                  </a:solidFill>
                  <a:latin typeface="Calibri" panose="020F0502020204030204"/>
                </a:rPr>
                <a:t>Price range</a:t>
              </a:r>
            </a:p>
          </cx:txPr>
        </cx:title>
        <cx:tickLabels/>
      </cx:axis>
      <cx:axis id="1">
        <cx:valScaling/>
        <cx:title>
          <cx:tx>
            <cx:rich>
              <a:bodyPr spcFirstLastPara="1" vertOverflow="ellipsis" horzOverflow="overflow" wrap="square" lIns="0" tIns="0" rIns="0" bIns="0" anchor="ctr" anchorCtr="1"/>
              <a:lstStyle/>
              <a:p>
                <a:pPr algn="ctr" rtl="0">
                  <a:defRPr/>
                </a:pPr>
                <a:r>
                  <a:rPr lang="en-US" sz="900" b="0" i="0" u="none" strike="noStrike" baseline="0">
                    <a:solidFill>
                      <a:sysClr val="window" lastClr="FFFFFF">
                        <a:lumMod val="95000"/>
                      </a:sysClr>
                    </a:solidFill>
                    <a:latin typeface="Calibri" panose="020F0502020204030204"/>
                  </a:rPr>
                  <a:t>Count</a:t>
                </a:r>
              </a:p>
              <a:p>
                <a:pPr algn="ctr" rtl="0">
                  <a:defRPr/>
                </a:pPr>
                <a:endParaRPr lang="en-US" sz="900" b="0" i="0" u="none" strike="noStrike" baseline="0">
                  <a:solidFill>
                    <a:sysClr val="window" lastClr="FFFFFF">
                      <a:lumMod val="95000"/>
                    </a:sysClr>
                  </a:solidFill>
                  <a:latin typeface="Calibri" panose="020F0502020204030204"/>
                </a:endParaRPr>
              </a:p>
            </cx:rich>
          </cx:tx>
        </cx:title>
        <cx:majorGridlines/>
        <cx:tickLabels/>
      </cx:axis>
    </cx:plotArea>
  </cx:chart>
  <cx:spPr>
    <a:solidFill>
      <a:schemeClr val="tx1"/>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323849</xdr:colOff>
      <xdr:row>0</xdr:row>
      <xdr:rowOff>0</xdr:rowOff>
    </xdr:from>
    <xdr:to>
      <xdr:col>10</xdr:col>
      <xdr:colOff>657224</xdr:colOff>
      <xdr:row>17</xdr:row>
      <xdr:rowOff>123825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1752CD6-8D47-45EB-8028-DFC937B8B0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85924" y="0"/>
              <a:ext cx="5210175" cy="33623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9524</xdr:colOff>
      <xdr:row>1</xdr:row>
      <xdr:rowOff>0</xdr:rowOff>
    </xdr:from>
    <xdr:to>
      <xdr:col>15</xdr:col>
      <xdr:colOff>0</xdr:colOff>
      <xdr:row>14</xdr:row>
      <xdr:rowOff>0</xdr:rowOff>
    </xdr:to>
    <xdr:graphicFrame macro="">
      <xdr:nvGraphicFramePr>
        <xdr:cNvPr id="2" name="Chart 1">
          <a:extLst>
            <a:ext uri="{FF2B5EF4-FFF2-40B4-BE49-F238E27FC236}">
              <a16:creationId xmlns:a16="http://schemas.microsoft.com/office/drawing/2014/main" id="{4226DDD2-15E5-C800-7C5A-6C4E32599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200025</xdr:colOff>
      <xdr:row>0</xdr:row>
      <xdr:rowOff>0</xdr:rowOff>
    </xdr:from>
    <xdr:to>
      <xdr:col>14</xdr:col>
      <xdr:colOff>76200</xdr:colOff>
      <xdr:row>10</xdr:row>
      <xdr:rowOff>0</xdr:rowOff>
    </xdr:to>
    <xdr:graphicFrame macro="">
      <xdr:nvGraphicFramePr>
        <xdr:cNvPr id="2" name="Chart 1">
          <a:extLst>
            <a:ext uri="{FF2B5EF4-FFF2-40B4-BE49-F238E27FC236}">
              <a16:creationId xmlns:a16="http://schemas.microsoft.com/office/drawing/2014/main" id="{29BA4DE4-01D4-922F-1640-1699560E4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247650</xdr:colOff>
      <xdr:row>0</xdr:row>
      <xdr:rowOff>0</xdr:rowOff>
    </xdr:from>
    <xdr:to>
      <xdr:col>8</xdr:col>
      <xdr:colOff>104775</xdr:colOff>
      <xdr:row>9</xdr:row>
      <xdr:rowOff>190500</xdr:rowOff>
    </xdr:to>
    <xdr:graphicFrame macro="">
      <xdr:nvGraphicFramePr>
        <xdr:cNvPr id="3" name="Chart 2">
          <a:extLst>
            <a:ext uri="{FF2B5EF4-FFF2-40B4-BE49-F238E27FC236}">
              <a16:creationId xmlns:a16="http://schemas.microsoft.com/office/drawing/2014/main" id="{E848AF04-8166-7423-C1C0-D7FDF742A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63EA3-228B-434C-A986-14F359F47BF1}">
  <dimension ref="A1:G30"/>
  <sheetViews>
    <sheetView topLeftCell="A16" workbookViewId="0">
      <selection activeCell="B19" sqref="B19"/>
    </sheetView>
  </sheetViews>
  <sheetFormatPr defaultRowHeight="15"/>
  <cols>
    <col min="1" max="1" width="26.5703125" bestFit="1" customWidth="1"/>
    <col min="2" max="2" width="12.7109375" bestFit="1" customWidth="1"/>
    <col min="3" max="3" width="13.7109375" bestFit="1" customWidth="1"/>
    <col min="4" max="5" width="12" bestFit="1" customWidth="1"/>
    <col min="6" max="6" width="27.42578125" bestFit="1" customWidth="1"/>
  </cols>
  <sheetData>
    <row r="1" spans="1:7">
      <c r="A1" s="15"/>
      <c r="B1" s="16" t="s">
        <v>3</v>
      </c>
      <c r="C1" s="16" t="s">
        <v>6</v>
      </c>
      <c r="D1" s="16" t="s">
        <v>5</v>
      </c>
      <c r="E1" s="16" t="s">
        <v>25</v>
      </c>
      <c r="F1" s="16" t="s">
        <v>7</v>
      </c>
    </row>
    <row r="2" spans="1:7">
      <c r="A2" t="s">
        <v>3</v>
      </c>
      <c r="B2">
        <f>VARP(data!$A$2:$A$507)</f>
        <v>8.5126346716868273</v>
      </c>
    </row>
    <row r="3" spans="1:7">
      <c r="A3" t="s">
        <v>6</v>
      </c>
      <c r="B3">
        <v>5.7638814073020734E-3</v>
      </c>
      <c r="C3">
        <f>VARP(data!$B$2:$B$507)</f>
        <v>7.9079247281633208E-2</v>
      </c>
    </row>
    <row r="4" spans="1:7">
      <c r="A4" t="s">
        <v>5</v>
      </c>
      <c r="B4">
        <v>-7.4977837491602972E-2</v>
      </c>
      <c r="C4">
        <v>1.2426782823899796</v>
      </c>
      <c r="D4">
        <f>VARP(data!$C$2:$C$507)</f>
        <v>46.971429741520595</v>
      </c>
    </row>
    <row r="5" spans="1:7">
      <c r="A5" t="s">
        <v>25</v>
      </c>
      <c r="B5">
        <v>6.9195644362511253E-4</v>
      </c>
      <c r="C5">
        <v>2.3812119313299691E-2</v>
      </c>
      <c r="D5">
        <v>0.60587394258229343</v>
      </c>
      <c r="E5">
        <f>VARP(data!$D$2:$D$507)</f>
        <v>1.3401098888632343E-2</v>
      </c>
    </row>
    <row r="6" spans="1:7" ht="15.75" thickBot="1">
      <c r="A6" s="13" t="s">
        <v>7</v>
      </c>
      <c r="B6" s="13">
        <v>-0.19573044415629029</v>
      </c>
      <c r="C6" s="13">
        <v>1.1154995547501148</v>
      </c>
      <c r="D6" s="13">
        <v>35.479714493274436</v>
      </c>
      <c r="E6" s="13">
        <v>0.61571022434345091</v>
      </c>
      <c r="F6" s="13">
        <f>VARP(data!$E$2:$E$507)</f>
        <v>75.666531269040291</v>
      </c>
    </row>
    <row r="9" spans="1:7">
      <c r="B9" s="25" t="s">
        <v>53</v>
      </c>
      <c r="C9" t="s">
        <v>10</v>
      </c>
    </row>
    <row r="11" spans="1:7">
      <c r="B11" s="27" t="s">
        <v>54</v>
      </c>
      <c r="C11" s="27" t="s">
        <v>55</v>
      </c>
      <c r="D11" s="27" t="s">
        <v>56</v>
      </c>
      <c r="E11" s="27" t="s">
        <v>57</v>
      </c>
      <c r="F11" s="27" t="s">
        <v>58</v>
      </c>
      <c r="G11" s="28"/>
    </row>
    <row r="12" spans="1:7" ht="24">
      <c r="B12" s="29" t="s">
        <v>54</v>
      </c>
      <c r="C12" s="30" t="s">
        <v>59</v>
      </c>
      <c r="D12" s="30" t="s">
        <v>60</v>
      </c>
      <c r="E12" s="30" t="s">
        <v>61</v>
      </c>
      <c r="F12" s="30" t="s">
        <v>62</v>
      </c>
      <c r="G12" s="30" t="s">
        <v>63</v>
      </c>
    </row>
    <row r="13" spans="1:7" ht="24">
      <c r="B13" s="29" t="s">
        <v>55</v>
      </c>
      <c r="C13" s="30" t="s">
        <v>64</v>
      </c>
      <c r="D13" s="30" t="s">
        <v>65</v>
      </c>
      <c r="E13" s="30" t="s">
        <v>66</v>
      </c>
      <c r="F13" s="30" t="s">
        <v>67</v>
      </c>
      <c r="G13" s="30" t="s">
        <v>68</v>
      </c>
    </row>
    <row r="14" spans="1:7" ht="24">
      <c r="B14" s="29" t="s">
        <v>56</v>
      </c>
      <c r="C14" s="30" t="s">
        <v>69</v>
      </c>
      <c r="D14" s="30" t="s">
        <v>70</v>
      </c>
      <c r="E14" s="30" t="s">
        <v>71</v>
      </c>
      <c r="F14" s="30" t="s">
        <v>72</v>
      </c>
      <c r="G14" s="30" t="s">
        <v>73</v>
      </c>
    </row>
    <row r="15" spans="1:7" ht="24">
      <c r="B15" s="29" t="s">
        <v>57</v>
      </c>
      <c r="C15" s="30" t="s">
        <v>74</v>
      </c>
      <c r="D15" s="30" t="s">
        <v>75</v>
      </c>
      <c r="E15" s="30" t="s">
        <v>76</v>
      </c>
      <c r="F15" s="30" t="s">
        <v>77</v>
      </c>
      <c r="G15" s="30" t="s">
        <v>78</v>
      </c>
    </row>
    <row r="16" spans="1:7">
      <c r="B16" s="29" t="s">
        <v>58</v>
      </c>
      <c r="C16" s="30" t="s">
        <v>79</v>
      </c>
      <c r="D16" s="30" t="s">
        <v>80</v>
      </c>
      <c r="E16" s="30" t="s">
        <v>81</v>
      </c>
      <c r="F16" s="30" t="s">
        <v>82</v>
      </c>
      <c r="G16" s="30" t="s">
        <v>83</v>
      </c>
    </row>
    <row r="17" spans="2:7">
      <c r="B17" s="26"/>
      <c r="C17" s="26"/>
      <c r="D17" s="26"/>
      <c r="E17" s="26"/>
      <c r="F17" s="26"/>
      <c r="G17" s="26"/>
    </row>
    <row r="18" spans="2:7">
      <c r="B18" s="31" t="s">
        <v>84</v>
      </c>
      <c r="C18" s="26"/>
      <c r="D18" s="26"/>
      <c r="E18" s="26"/>
      <c r="F18" s="26"/>
      <c r="G18" s="26"/>
    </row>
    <row r="19" spans="2:7">
      <c r="B19" s="32" t="s">
        <v>85</v>
      </c>
    </row>
    <row r="20" spans="2:7">
      <c r="B20" s="32" t="s">
        <v>86</v>
      </c>
    </row>
    <row r="21" spans="2:7">
      <c r="B21" s="32" t="s">
        <v>87</v>
      </c>
    </row>
    <row r="23" spans="2:7">
      <c r="B23" s="33" t="s">
        <v>88</v>
      </c>
    </row>
    <row r="24" spans="2:7">
      <c r="B24" s="34"/>
    </row>
    <row r="25" spans="2:7">
      <c r="B25" s="35" t="s">
        <v>89</v>
      </c>
    </row>
    <row r="26" spans="2:7">
      <c r="B26" s="35" t="s">
        <v>90</v>
      </c>
    </row>
    <row r="27" spans="2:7">
      <c r="B27" s="35" t="s">
        <v>91</v>
      </c>
    </row>
    <row r="28" spans="2:7">
      <c r="B28" s="35" t="s">
        <v>92</v>
      </c>
    </row>
    <row r="30" spans="2:7">
      <c r="B30" s="36"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7"/>
  <sheetViews>
    <sheetView workbookViewId="0">
      <selection activeCell="J1" sqref="J1"/>
    </sheetView>
  </sheetViews>
  <sheetFormatPr defaultRowHeight="15"/>
  <cols>
    <col min="1" max="1" width="12" customWidth="1"/>
    <col min="2" max="2" width="13.140625" customWidth="1"/>
    <col min="3" max="3" width="9.7109375" customWidth="1"/>
    <col min="4" max="4" width="9.140625" customWidth="1"/>
    <col min="5" max="5" width="13.5703125" customWidth="1"/>
    <col min="6" max="6" width="12.28515625" customWidth="1"/>
    <col min="7" max="7" width="8.5703125" bestFit="1" customWidth="1"/>
    <col min="8" max="8" width="11.5703125" bestFit="1" customWidth="1"/>
    <col min="9" max="9" width="9.140625" customWidth="1"/>
    <col min="10" max="10" width="16.28515625" customWidth="1"/>
  </cols>
  <sheetData>
    <row r="1" spans="1:13">
      <c r="A1" s="2" t="s">
        <v>3</v>
      </c>
      <c r="B1" s="2" t="s">
        <v>6</v>
      </c>
      <c r="C1" s="2" t="s">
        <v>5</v>
      </c>
      <c r="D1" s="2" t="s">
        <v>25</v>
      </c>
      <c r="E1" s="2" t="s">
        <v>7</v>
      </c>
      <c r="F1" s="2" t="s">
        <v>8</v>
      </c>
      <c r="G1" s="2" t="s">
        <v>1</v>
      </c>
      <c r="H1" s="2" t="s">
        <v>4</v>
      </c>
      <c r="I1" s="2" t="s">
        <v>2</v>
      </c>
      <c r="J1" s="2" t="s">
        <v>9</v>
      </c>
    </row>
    <row r="2" spans="1:13">
      <c r="A2" s="18">
        <v>4.3</v>
      </c>
      <c r="B2" s="19">
        <v>0.65200000000000002</v>
      </c>
      <c r="C2" s="20">
        <v>2.31</v>
      </c>
      <c r="D2" s="17">
        <v>0.53800000000000003</v>
      </c>
      <c r="E2" s="17">
        <v>1</v>
      </c>
      <c r="F2" s="21">
        <v>296</v>
      </c>
      <c r="G2" s="17">
        <v>15.3</v>
      </c>
      <c r="H2" s="22">
        <v>6.5750000000000002</v>
      </c>
      <c r="I2" s="23">
        <v>4.9800000000000004</v>
      </c>
      <c r="J2" s="17">
        <v>24</v>
      </c>
      <c r="L2" s="10" t="s">
        <v>11</v>
      </c>
    </row>
    <row r="3" spans="1:13">
      <c r="A3" s="24">
        <v>4.3099999999999996</v>
      </c>
      <c r="B3" s="19">
        <v>0.78900000000000003</v>
      </c>
      <c r="C3" s="20">
        <v>7.07</v>
      </c>
      <c r="D3" s="17">
        <v>0.46899999999999997</v>
      </c>
      <c r="E3" s="17">
        <v>2</v>
      </c>
      <c r="F3" s="21">
        <v>242</v>
      </c>
      <c r="G3" s="17">
        <v>17.8</v>
      </c>
      <c r="H3" s="22">
        <v>6.4210000000000003</v>
      </c>
      <c r="I3" s="23">
        <v>9.14</v>
      </c>
      <c r="J3" s="17">
        <v>21.6</v>
      </c>
      <c r="L3" t="s">
        <v>12</v>
      </c>
      <c r="M3" t="s">
        <v>13</v>
      </c>
    </row>
    <row r="4" spans="1:13">
      <c r="A4" s="24">
        <v>7.87</v>
      </c>
      <c r="B4" s="19">
        <v>0.61099999999999999</v>
      </c>
      <c r="C4" s="20">
        <v>7.07</v>
      </c>
      <c r="D4" s="17">
        <v>0.46899999999999997</v>
      </c>
      <c r="E4" s="17">
        <v>2</v>
      </c>
      <c r="F4" s="21">
        <v>242</v>
      </c>
      <c r="G4" s="17">
        <v>17.8</v>
      </c>
      <c r="H4" s="22">
        <v>7.1849999999999996</v>
      </c>
      <c r="I4" s="23">
        <v>4.03</v>
      </c>
      <c r="J4" s="17">
        <v>34.700000000000003</v>
      </c>
      <c r="L4" s="3" t="s">
        <v>14</v>
      </c>
      <c r="M4" t="s">
        <v>15</v>
      </c>
    </row>
    <row r="5" spans="1:13">
      <c r="A5" s="24">
        <v>6.47</v>
      </c>
      <c r="B5" s="19">
        <v>0.45799999999999996</v>
      </c>
      <c r="C5" s="20">
        <v>2.1800000000000002</v>
      </c>
      <c r="D5" s="17">
        <v>0.45800000000000002</v>
      </c>
      <c r="E5" s="17">
        <v>3</v>
      </c>
      <c r="F5" s="21">
        <v>222</v>
      </c>
      <c r="G5" s="17">
        <v>18.7</v>
      </c>
      <c r="H5" s="22">
        <v>6.9980000000000002</v>
      </c>
      <c r="I5" s="23">
        <v>2.94</v>
      </c>
      <c r="J5" s="17">
        <v>33.4</v>
      </c>
      <c r="L5" t="s">
        <v>16</v>
      </c>
      <c r="M5" t="s">
        <v>17</v>
      </c>
    </row>
    <row r="6" spans="1:13">
      <c r="A6" s="24">
        <v>5.24</v>
      </c>
      <c r="B6" s="19">
        <v>0.54200000000000004</v>
      </c>
      <c r="C6" s="20">
        <v>2.1800000000000002</v>
      </c>
      <c r="D6" s="17">
        <v>0.45800000000000002</v>
      </c>
      <c r="E6" s="17">
        <v>3</v>
      </c>
      <c r="F6" s="21">
        <v>222</v>
      </c>
      <c r="G6" s="17">
        <v>18.7</v>
      </c>
      <c r="H6" s="22">
        <v>7.1470000000000002</v>
      </c>
      <c r="I6" s="23">
        <v>5.33</v>
      </c>
      <c r="J6" s="17">
        <v>36.200000000000003</v>
      </c>
      <c r="L6" t="s">
        <v>18</v>
      </c>
      <c r="M6" t="s">
        <v>19</v>
      </c>
    </row>
    <row r="7" spans="1:13">
      <c r="A7" s="24">
        <v>9.75</v>
      </c>
      <c r="B7" s="19">
        <v>0.58700000000000008</v>
      </c>
      <c r="C7" s="20">
        <v>2.1800000000000002</v>
      </c>
      <c r="D7" s="17">
        <v>0.45800000000000002</v>
      </c>
      <c r="E7" s="17">
        <v>3</v>
      </c>
      <c r="F7" s="21">
        <v>222</v>
      </c>
      <c r="G7" s="17">
        <v>18.7</v>
      </c>
      <c r="H7" s="22">
        <v>6.43</v>
      </c>
      <c r="I7" s="23">
        <v>5.21</v>
      </c>
      <c r="J7" s="17">
        <v>28.7</v>
      </c>
      <c r="L7" t="s">
        <v>20</v>
      </c>
      <c r="M7" t="s">
        <v>21</v>
      </c>
    </row>
    <row r="8" spans="1:13">
      <c r="A8" s="24">
        <v>9.42</v>
      </c>
      <c r="B8" s="19">
        <v>0.66599999999999993</v>
      </c>
      <c r="C8" s="20">
        <v>7.87</v>
      </c>
      <c r="D8" s="17">
        <v>0.52400000000000002</v>
      </c>
      <c r="E8" s="17">
        <v>5</v>
      </c>
      <c r="F8" s="21">
        <v>311</v>
      </c>
      <c r="G8" s="17">
        <v>15.2</v>
      </c>
      <c r="H8" s="22">
        <v>6.0119999999999996</v>
      </c>
      <c r="I8" s="23">
        <v>12.43</v>
      </c>
      <c r="J8" s="17">
        <v>22.9</v>
      </c>
      <c r="L8" t="s">
        <v>22</v>
      </c>
      <c r="M8" t="s">
        <v>23</v>
      </c>
    </row>
    <row r="9" spans="1:13">
      <c r="A9" s="24">
        <v>2.76</v>
      </c>
      <c r="B9" s="19">
        <v>0.96099999999999997</v>
      </c>
      <c r="C9" s="20">
        <v>7.87</v>
      </c>
      <c r="D9" s="17">
        <v>0.52400000000000002</v>
      </c>
      <c r="E9" s="17">
        <v>5</v>
      </c>
      <c r="F9" s="21">
        <v>311</v>
      </c>
      <c r="G9" s="17">
        <v>15.2</v>
      </c>
      <c r="H9" s="22">
        <v>6.1719999999999997</v>
      </c>
      <c r="I9" s="23">
        <v>19.149999999999999</v>
      </c>
      <c r="J9" s="17">
        <v>27.1</v>
      </c>
      <c r="L9" t="s">
        <v>18</v>
      </c>
      <c r="M9" t="s">
        <v>24</v>
      </c>
    </row>
    <row r="10" spans="1:13">
      <c r="A10" s="24">
        <v>7.66</v>
      </c>
      <c r="B10" s="19">
        <v>1</v>
      </c>
      <c r="C10" s="20">
        <v>7.87</v>
      </c>
      <c r="D10" s="17">
        <v>0.52400000000000002</v>
      </c>
      <c r="E10" s="17">
        <v>5</v>
      </c>
      <c r="F10" s="21">
        <v>311</v>
      </c>
      <c r="G10" s="17">
        <v>15.2</v>
      </c>
      <c r="H10" s="22">
        <v>5.6310000000000002</v>
      </c>
      <c r="I10" s="23">
        <v>29.93</v>
      </c>
      <c r="J10" s="17">
        <v>16.5</v>
      </c>
    </row>
    <row r="11" spans="1:13">
      <c r="A11" s="24">
        <v>1.1200000000000001</v>
      </c>
      <c r="B11" s="19">
        <v>0.8590000000000001</v>
      </c>
      <c r="C11" s="20">
        <v>7.87</v>
      </c>
      <c r="D11" s="17">
        <v>0.52400000000000002</v>
      </c>
      <c r="E11" s="17">
        <v>5</v>
      </c>
      <c r="F11" s="21">
        <v>311</v>
      </c>
      <c r="G11" s="17">
        <v>15.2</v>
      </c>
      <c r="H11" s="22">
        <v>6.0039999999999996</v>
      </c>
      <c r="I11" s="23">
        <v>17.100000000000001</v>
      </c>
      <c r="J11" s="17">
        <v>18.899999999999999</v>
      </c>
    </row>
    <row r="12" spans="1:13">
      <c r="A12" s="24">
        <v>7.52</v>
      </c>
      <c r="B12" s="19">
        <v>0.94299999999999995</v>
      </c>
      <c r="C12" s="20">
        <v>7.87</v>
      </c>
      <c r="D12" s="17">
        <v>0.52400000000000002</v>
      </c>
      <c r="E12" s="17">
        <v>5</v>
      </c>
      <c r="F12" s="21">
        <v>311</v>
      </c>
      <c r="G12" s="17">
        <v>15.2</v>
      </c>
      <c r="H12" s="22">
        <v>6.3769999999999998</v>
      </c>
      <c r="I12" s="23">
        <v>20.45</v>
      </c>
      <c r="J12" s="17">
        <v>15</v>
      </c>
    </row>
    <row r="13" spans="1:13">
      <c r="A13" s="24">
        <v>1.55</v>
      </c>
      <c r="B13" s="19">
        <v>0.82900000000000007</v>
      </c>
      <c r="C13" s="20">
        <v>7.87</v>
      </c>
      <c r="D13" s="17">
        <v>0.52400000000000002</v>
      </c>
      <c r="E13" s="17">
        <v>5</v>
      </c>
      <c r="F13" s="21">
        <v>311</v>
      </c>
      <c r="G13" s="17">
        <v>15.2</v>
      </c>
      <c r="H13" s="22">
        <v>6.0090000000000003</v>
      </c>
      <c r="I13" s="23">
        <v>13.27</v>
      </c>
      <c r="J13" s="17">
        <v>18.899999999999999</v>
      </c>
    </row>
    <row r="14" spans="1:13">
      <c r="A14" s="24">
        <v>3.7</v>
      </c>
      <c r="B14" s="19">
        <v>0.39</v>
      </c>
      <c r="C14" s="20">
        <v>7.87</v>
      </c>
      <c r="D14" s="17">
        <v>0.52400000000000002</v>
      </c>
      <c r="E14" s="17">
        <v>5</v>
      </c>
      <c r="F14" s="21">
        <v>311</v>
      </c>
      <c r="G14" s="17">
        <v>15.2</v>
      </c>
      <c r="H14" s="22">
        <v>5.8890000000000002</v>
      </c>
      <c r="I14" s="23">
        <v>15.71</v>
      </c>
      <c r="J14" s="17">
        <v>21.7</v>
      </c>
      <c r="K14" t="s">
        <v>10</v>
      </c>
    </row>
    <row r="15" spans="1:13">
      <c r="A15" s="24">
        <v>7.14</v>
      </c>
      <c r="B15" s="19">
        <v>0.61799999999999999</v>
      </c>
      <c r="C15" s="20">
        <v>8.14</v>
      </c>
      <c r="D15" s="17">
        <v>0.53800000000000003</v>
      </c>
      <c r="E15" s="17">
        <v>4</v>
      </c>
      <c r="F15" s="21">
        <v>307</v>
      </c>
      <c r="G15" s="17">
        <v>21</v>
      </c>
      <c r="H15" s="22">
        <v>5.9489999999999998</v>
      </c>
      <c r="I15" s="23">
        <v>8.26</v>
      </c>
      <c r="J15" s="17">
        <v>20.399999999999999</v>
      </c>
    </row>
    <row r="16" spans="1:13">
      <c r="A16" s="24">
        <v>0.21</v>
      </c>
      <c r="B16" s="19">
        <v>0.84499999999999997</v>
      </c>
      <c r="C16" s="20">
        <v>8.14</v>
      </c>
      <c r="D16" s="17">
        <v>0.53800000000000003</v>
      </c>
      <c r="E16" s="17">
        <v>4</v>
      </c>
      <c r="F16" s="21">
        <v>307</v>
      </c>
      <c r="G16" s="17">
        <v>21</v>
      </c>
      <c r="H16" s="22">
        <v>6.0960000000000001</v>
      </c>
      <c r="I16" s="23">
        <v>10.26</v>
      </c>
      <c r="J16" s="17">
        <v>18.2</v>
      </c>
    </row>
    <row r="17" spans="1:10">
      <c r="A17" s="24">
        <v>8.6</v>
      </c>
      <c r="B17" s="19">
        <v>0.56500000000000006</v>
      </c>
      <c r="C17" s="20">
        <v>8.14</v>
      </c>
      <c r="D17" s="17">
        <v>0.53800000000000003</v>
      </c>
      <c r="E17" s="17">
        <v>4</v>
      </c>
      <c r="F17" s="21">
        <v>307</v>
      </c>
      <c r="G17" s="17">
        <v>21</v>
      </c>
      <c r="H17" s="22">
        <v>5.8339999999999996</v>
      </c>
      <c r="I17" s="23">
        <v>8.4700000000000006</v>
      </c>
      <c r="J17" s="17">
        <v>19.899999999999999</v>
      </c>
    </row>
    <row r="18" spans="1:10">
      <c r="A18" s="24">
        <v>6.95</v>
      </c>
      <c r="B18" s="19">
        <v>0.29300000000000004</v>
      </c>
      <c r="C18" s="20">
        <v>8.14</v>
      </c>
      <c r="D18" s="17">
        <v>0.53800000000000003</v>
      </c>
      <c r="E18" s="17">
        <v>4</v>
      </c>
      <c r="F18" s="21">
        <v>307</v>
      </c>
      <c r="G18" s="17">
        <v>21</v>
      </c>
      <c r="H18" s="22">
        <v>5.9349999999999996</v>
      </c>
      <c r="I18" s="23">
        <v>6.58</v>
      </c>
      <c r="J18" s="17">
        <v>23.1</v>
      </c>
    </row>
    <row r="19" spans="1:10">
      <c r="A19" s="24">
        <v>0.8</v>
      </c>
      <c r="B19" s="19">
        <v>0.81700000000000006</v>
      </c>
      <c r="C19" s="20">
        <v>8.14</v>
      </c>
      <c r="D19" s="17">
        <v>0.53800000000000003</v>
      </c>
      <c r="E19" s="17">
        <v>4</v>
      </c>
      <c r="F19" s="21">
        <v>307</v>
      </c>
      <c r="G19" s="17">
        <v>21</v>
      </c>
      <c r="H19" s="22">
        <v>5.99</v>
      </c>
      <c r="I19" s="23">
        <v>14.67</v>
      </c>
      <c r="J19" s="17">
        <v>17.5</v>
      </c>
    </row>
    <row r="20" spans="1:10">
      <c r="A20" s="24">
        <v>8.5</v>
      </c>
      <c r="B20" s="19">
        <v>0.36600000000000005</v>
      </c>
      <c r="C20" s="20">
        <v>8.14</v>
      </c>
      <c r="D20" s="17">
        <v>0.53800000000000003</v>
      </c>
      <c r="E20" s="17">
        <v>4</v>
      </c>
      <c r="F20" s="21">
        <v>307</v>
      </c>
      <c r="G20" s="17">
        <v>21</v>
      </c>
      <c r="H20" s="22">
        <v>5.4560000000000004</v>
      </c>
      <c r="I20" s="23">
        <v>11.69</v>
      </c>
      <c r="J20" s="17">
        <v>20.2</v>
      </c>
    </row>
    <row r="21" spans="1:10">
      <c r="A21" s="24">
        <v>5.53</v>
      </c>
      <c r="B21" s="19">
        <v>0.69500000000000006</v>
      </c>
      <c r="C21" s="20">
        <v>8.14</v>
      </c>
      <c r="D21" s="17">
        <v>0.53800000000000003</v>
      </c>
      <c r="E21" s="17">
        <v>4</v>
      </c>
      <c r="F21" s="21">
        <v>307</v>
      </c>
      <c r="G21" s="17">
        <v>21</v>
      </c>
      <c r="H21" s="22">
        <v>5.7270000000000003</v>
      </c>
      <c r="I21" s="23">
        <v>11.28</v>
      </c>
      <c r="J21" s="17">
        <v>18.2</v>
      </c>
    </row>
    <row r="22" spans="1:10">
      <c r="A22" s="24">
        <v>8.39</v>
      </c>
      <c r="B22" s="19">
        <v>0.98099999999999998</v>
      </c>
      <c r="C22" s="20">
        <v>8.14</v>
      </c>
      <c r="D22" s="17">
        <v>0.53800000000000003</v>
      </c>
      <c r="E22" s="17">
        <v>4</v>
      </c>
      <c r="F22" s="21">
        <v>307</v>
      </c>
      <c r="G22" s="17">
        <v>21</v>
      </c>
      <c r="H22" s="22">
        <v>5.57</v>
      </c>
      <c r="I22" s="23">
        <v>21.02</v>
      </c>
      <c r="J22" s="17">
        <v>13.6</v>
      </c>
    </row>
    <row r="23" spans="1:10">
      <c r="A23" s="24">
        <v>8.9600000000000009</v>
      </c>
      <c r="B23" s="19">
        <v>0.89200000000000002</v>
      </c>
      <c r="C23" s="20">
        <v>8.14</v>
      </c>
      <c r="D23" s="17">
        <v>0.53800000000000003</v>
      </c>
      <c r="E23" s="17">
        <v>4</v>
      </c>
      <c r="F23" s="21">
        <v>307</v>
      </c>
      <c r="G23" s="17">
        <v>21</v>
      </c>
      <c r="H23" s="22">
        <v>5.9649999999999999</v>
      </c>
      <c r="I23" s="23">
        <v>13.83</v>
      </c>
      <c r="J23" s="17">
        <v>19.600000000000001</v>
      </c>
    </row>
    <row r="24" spans="1:10">
      <c r="A24" s="24">
        <v>9.61</v>
      </c>
      <c r="B24" s="19">
        <v>0.91700000000000004</v>
      </c>
      <c r="C24" s="20">
        <v>8.14</v>
      </c>
      <c r="D24" s="17">
        <v>0.53800000000000003</v>
      </c>
      <c r="E24" s="17">
        <v>4</v>
      </c>
      <c r="F24" s="21">
        <v>307</v>
      </c>
      <c r="G24" s="17">
        <v>21</v>
      </c>
      <c r="H24" s="22">
        <v>6.1420000000000003</v>
      </c>
      <c r="I24" s="23">
        <v>18.72</v>
      </c>
      <c r="J24" s="17">
        <v>15.2</v>
      </c>
    </row>
    <row r="25" spans="1:10">
      <c r="A25" s="24">
        <v>2.8</v>
      </c>
      <c r="B25" s="19">
        <v>1</v>
      </c>
      <c r="C25" s="20">
        <v>8.14</v>
      </c>
      <c r="D25" s="17">
        <v>0.53800000000000003</v>
      </c>
      <c r="E25" s="17">
        <v>4</v>
      </c>
      <c r="F25" s="21">
        <v>307</v>
      </c>
      <c r="G25" s="17">
        <v>21</v>
      </c>
      <c r="H25" s="22">
        <v>5.8129999999999997</v>
      </c>
      <c r="I25" s="23">
        <v>19.88</v>
      </c>
      <c r="J25" s="17">
        <v>14.5</v>
      </c>
    </row>
    <row r="26" spans="1:10">
      <c r="A26" s="24">
        <v>1.29</v>
      </c>
      <c r="B26" s="19">
        <v>0.94099999999999995</v>
      </c>
      <c r="C26" s="20">
        <v>8.14</v>
      </c>
      <c r="D26" s="17">
        <v>0.53800000000000003</v>
      </c>
      <c r="E26" s="17">
        <v>4</v>
      </c>
      <c r="F26" s="21">
        <v>307</v>
      </c>
      <c r="G26" s="17">
        <v>21</v>
      </c>
      <c r="H26" s="22">
        <v>5.9240000000000004</v>
      </c>
      <c r="I26" s="23">
        <v>16.3</v>
      </c>
      <c r="J26" s="17">
        <v>15.6</v>
      </c>
    </row>
    <row r="27" spans="1:10">
      <c r="A27" s="24">
        <v>5.71</v>
      </c>
      <c r="B27" s="19">
        <v>0.8570000000000001</v>
      </c>
      <c r="C27" s="20">
        <v>8.14</v>
      </c>
      <c r="D27" s="17">
        <v>0.53800000000000003</v>
      </c>
      <c r="E27" s="17">
        <v>4</v>
      </c>
      <c r="F27" s="21">
        <v>307</v>
      </c>
      <c r="G27" s="17">
        <v>21</v>
      </c>
      <c r="H27" s="22">
        <v>5.5990000000000002</v>
      </c>
      <c r="I27" s="23">
        <v>16.510000000000002</v>
      </c>
      <c r="J27" s="17">
        <v>13.9</v>
      </c>
    </row>
    <row r="28" spans="1:10">
      <c r="A28" s="24">
        <v>0.82</v>
      </c>
      <c r="B28" s="19">
        <v>0.90300000000000002</v>
      </c>
      <c r="C28" s="20">
        <v>8.14</v>
      </c>
      <c r="D28" s="17">
        <v>0.53800000000000003</v>
      </c>
      <c r="E28" s="17">
        <v>4</v>
      </c>
      <c r="F28" s="21">
        <v>307</v>
      </c>
      <c r="G28" s="17">
        <v>21</v>
      </c>
      <c r="H28" s="22">
        <v>5.8129999999999997</v>
      </c>
      <c r="I28" s="23">
        <v>14.81</v>
      </c>
      <c r="J28" s="17">
        <v>16.600000000000001</v>
      </c>
    </row>
    <row r="29" spans="1:10">
      <c r="A29" s="24">
        <v>5.22</v>
      </c>
      <c r="B29" s="19">
        <v>0.88800000000000001</v>
      </c>
      <c r="C29" s="20">
        <v>8.14</v>
      </c>
      <c r="D29" s="17">
        <v>0.53800000000000003</v>
      </c>
      <c r="E29" s="17">
        <v>4</v>
      </c>
      <c r="F29" s="21">
        <v>307</v>
      </c>
      <c r="G29" s="17">
        <v>21</v>
      </c>
      <c r="H29" s="22">
        <v>6.0469999999999997</v>
      </c>
      <c r="I29" s="23">
        <v>17.28</v>
      </c>
      <c r="J29" s="17">
        <v>14.8</v>
      </c>
    </row>
    <row r="30" spans="1:10">
      <c r="A30" s="24">
        <v>0.37</v>
      </c>
      <c r="B30" s="19">
        <v>0.94400000000000006</v>
      </c>
      <c r="C30" s="20">
        <v>8.14</v>
      </c>
      <c r="D30" s="17">
        <v>0.53800000000000003</v>
      </c>
      <c r="E30" s="17">
        <v>4</v>
      </c>
      <c r="F30" s="21">
        <v>307</v>
      </c>
      <c r="G30" s="17">
        <v>21</v>
      </c>
      <c r="H30" s="22">
        <v>6.4950000000000001</v>
      </c>
      <c r="I30" s="23">
        <v>12.8</v>
      </c>
      <c r="J30" s="17">
        <v>18.399999999999999</v>
      </c>
    </row>
    <row r="31" spans="1:10">
      <c r="A31" s="24">
        <v>5.8</v>
      </c>
      <c r="B31" s="19">
        <v>0.873</v>
      </c>
      <c r="C31" s="20">
        <v>8.14</v>
      </c>
      <c r="D31" s="17">
        <v>0.53800000000000003</v>
      </c>
      <c r="E31" s="17">
        <v>4</v>
      </c>
      <c r="F31" s="21">
        <v>307</v>
      </c>
      <c r="G31" s="17">
        <v>21</v>
      </c>
      <c r="H31" s="22">
        <v>6.6740000000000004</v>
      </c>
      <c r="I31" s="23">
        <v>11.98</v>
      </c>
      <c r="J31" s="17">
        <v>21</v>
      </c>
    </row>
    <row r="32" spans="1:10">
      <c r="A32" s="24">
        <v>1.3</v>
      </c>
      <c r="B32" s="19">
        <v>0.94099999999999995</v>
      </c>
      <c r="C32" s="20">
        <v>8.14</v>
      </c>
      <c r="D32" s="17">
        <v>0.53800000000000003</v>
      </c>
      <c r="E32" s="17">
        <v>4</v>
      </c>
      <c r="F32" s="21">
        <v>307</v>
      </c>
      <c r="G32" s="17">
        <v>21</v>
      </c>
      <c r="H32" s="22">
        <v>5.7130000000000001</v>
      </c>
      <c r="I32" s="23">
        <v>22.6</v>
      </c>
      <c r="J32" s="17">
        <v>12.7</v>
      </c>
    </row>
    <row r="33" spans="1:10">
      <c r="A33" s="24">
        <v>0.23</v>
      </c>
      <c r="B33" s="19">
        <v>1</v>
      </c>
      <c r="C33" s="20">
        <v>8.14</v>
      </c>
      <c r="D33" s="17">
        <v>0.53800000000000003</v>
      </c>
      <c r="E33" s="17">
        <v>4</v>
      </c>
      <c r="F33" s="21">
        <v>307</v>
      </c>
      <c r="G33" s="17">
        <v>21</v>
      </c>
      <c r="H33" s="22">
        <v>6.0720000000000001</v>
      </c>
      <c r="I33" s="23">
        <v>13.04</v>
      </c>
      <c r="J33" s="17">
        <v>14.5</v>
      </c>
    </row>
    <row r="34" spans="1:10">
      <c r="A34" s="24">
        <v>1.1200000000000001</v>
      </c>
      <c r="B34" s="19">
        <v>0.82000000000000006</v>
      </c>
      <c r="C34" s="20">
        <v>8.14</v>
      </c>
      <c r="D34" s="17">
        <v>0.53800000000000003</v>
      </c>
      <c r="E34" s="17">
        <v>4</v>
      </c>
      <c r="F34" s="21">
        <v>307</v>
      </c>
      <c r="G34" s="17">
        <v>21</v>
      </c>
      <c r="H34" s="22">
        <v>5.95</v>
      </c>
      <c r="I34" s="23">
        <v>27.71</v>
      </c>
      <c r="J34" s="17">
        <v>13.2</v>
      </c>
    </row>
    <row r="35" spans="1:10">
      <c r="A35" s="24">
        <v>6.33</v>
      </c>
      <c r="B35" s="19">
        <v>0.95000000000000007</v>
      </c>
      <c r="C35" s="20">
        <v>8.14</v>
      </c>
      <c r="D35" s="17">
        <v>0.53800000000000003</v>
      </c>
      <c r="E35" s="17">
        <v>4</v>
      </c>
      <c r="F35" s="21">
        <v>307</v>
      </c>
      <c r="G35" s="17">
        <v>21</v>
      </c>
      <c r="H35" s="22">
        <v>5.7009999999999996</v>
      </c>
      <c r="I35" s="23">
        <v>18.350000000000001</v>
      </c>
      <c r="J35" s="17">
        <v>13.1</v>
      </c>
    </row>
    <row r="36" spans="1:10">
      <c r="A36" s="24">
        <v>0.04</v>
      </c>
      <c r="B36" s="19">
        <v>0.96900000000000008</v>
      </c>
      <c r="C36" s="20">
        <v>8.14</v>
      </c>
      <c r="D36" s="17">
        <v>0.53800000000000003</v>
      </c>
      <c r="E36" s="17">
        <v>4</v>
      </c>
      <c r="F36" s="21">
        <v>307</v>
      </c>
      <c r="G36" s="17">
        <v>21</v>
      </c>
      <c r="H36" s="22">
        <v>6.0960000000000001</v>
      </c>
      <c r="I36" s="23">
        <v>20.34</v>
      </c>
      <c r="J36" s="17">
        <v>13.5</v>
      </c>
    </row>
    <row r="37" spans="1:10">
      <c r="A37" s="24">
        <v>8.6</v>
      </c>
      <c r="B37" s="19">
        <v>0.68200000000000005</v>
      </c>
      <c r="C37" s="20">
        <v>5.96</v>
      </c>
      <c r="D37" s="17">
        <v>0.499</v>
      </c>
      <c r="E37" s="17">
        <v>5</v>
      </c>
      <c r="F37" s="21">
        <v>279</v>
      </c>
      <c r="G37" s="17">
        <v>19.2</v>
      </c>
      <c r="H37" s="22">
        <v>5.9329999999999998</v>
      </c>
      <c r="I37" s="23">
        <v>9.68</v>
      </c>
      <c r="J37" s="17">
        <v>18.899999999999999</v>
      </c>
    </row>
    <row r="38" spans="1:10">
      <c r="A38" s="24">
        <v>7.9</v>
      </c>
      <c r="B38" s="19">
        <v>0.61399999999999999</v>
      </c>
      <c r="C38" s="20">
        <v>5.96</v>
      </c>
      <c r="D38" s="17">
        <v>0.499</v>
      </c>
      <c r="E38" s="17">
        <v>5</v>
      </c>
      <c r="F38" s="21">
        <v>279</v>
      </c>
      <c r="G38" s="17">
        <v>19.2</v>
      </c>
      <c r="H38" s="22">
        <v>5.8410000000000002</v>
      </c>
      <c r="I38" s="23">
        <v>11.41</v>
      </c>
      <c r="J38" s="17">
        <v>20</v>
      </c>
    </row>
    <row r="39" spans="1:10">
      <c r="A39" s="24">
        <v>7.19</v>
      </c>
      <c r="B39" s="19">
        <v>0.41500000000000004</v>
      </c>
      <c r="C39" s="20">
        <v>5.96</v>
      </c>
      <c r="D39" s="17">
        <v>0.499</v>
      </c>
      <c r="E39" s="17">
        <v>5</v>
      </c>
      <c r="F39" s="21">
        <v>279</v>
      </c>
      <c r="G39" s="17">
        <v>19.2</v>
      </c>
      <c r="H39" s="22">
        <v>5.85</v>
      </c>
      <c r="I39" s="23">
        <v>8.77</v>
      </c>
      <c r="J39" s="17">
        <v>21</v>
      </c>
    </row>
    <row r="40" spans="1:10">
      <c r="A40" s="24">
        <v>3.88</v>
      </c>
      <c r="B40" s="19">
        <v>0.30199999999999999</v>
      </c>
      <c r="C40" s="20">
        <v>5.96</v>
      </c>
      <c r="D40" s="17">
        <v>0.499</v>
      </c>
      <c r="E40" s="17">
        <v>5</v>
      </c>
      <c r="F40" s="21">
        <v>279</v>
      </c>
      <c r="G40" s="17">
        <v>19.2</v>
      </c>
      <c r="H40" s="22">
        <v>5.9660000000000002</v>
      </c>
      <c r="I40" s="23">
        <v>10.130000000000001</v>
      </c>
      <c r="J40" s="17">
        <v>24.7</v>
      </c>
    </row>
    <row r="41" spans="1:10">
      <c r="A41" s="24">
        <v>8.99</v>
      </c>
      <c r="B41" s="19">
        <v>0.218</v>
      </c>
      <c r="C41" s="20">
        <v>2.95</v>
      </c>
      <c r="D41" s="17">
        <v>0.42799999999999999</v>
      </c>
      <c r="E41" s="17">
        <v>3</v>
      </c>
      <c r="F41" s="21">
        <v>252</v>
      </c>
      <c r="G41" s="17">
        <v>18.3</v>
      </c>
      <c r="H41" s="22">
        <v>6.5949999999999998</v>
      </c>
      <c r="I41" s="23">
        <v>4.32</v>
      </c>
      <c r="J41" s="17">
        <v>30.8</v>
      </c>
    </row>
    <row r="42" spans="1:10">
      <c r="A42" s="24">
        <v>1.27</v>
      </c>
      <c r="B42" s="19">
        <v>0.158</v>
      </c>
      <c r="C42" s="20">
        <v>2.95</v>
      </c>
      <c r="D42" s="17">
        <v>0.42799999999999999</v>
      </c>
      <c r="E42" s="17">
        <v>3</v>
      </c>
      <c r="F42" s="21">
        <v>252</v>
      </c>
      <c r="G42" s="17">
        <v>18.3</v>
      </c>
      <c r="H42" s="22">
        <v>7.024</v>
      </c>
      <c r="I42" s="23">
        <v>1.98</v>
      </c>
      <c r="J42" s="17">
        <v>34.9</v>
      </c>
    </row>
    <row r="43" spans="1:10">
      <c r="A43" s="24">
        <v>4.8600000000000003</v>
      </c>
      <c r="B43" s="19">
        <v>2.8999999999999998E-2</v>
      </c>
      <c r="C43" s="20">
        <v>6.91</v>
      </c>
      <c r="D43" s="17">
        <v>0.44800000000000001</v>
      </c>
      <c r="E43" s="17">
        <v>3</v>
      </c>
      <c r="F43" s="21">
        <v>233</v>
      </c>
      <c r="G43" s="17">
        <v>17.899999999999999</v>
      </c>
      <c r="H43" s="22">
        <v>6.77</v>
      </c>
      <c r="I43" s="23">
        <v>4.84</v>
      </c>
      <c r="J43" s="17">
        <v>26.6</v>
      </c>
    </row>
    <row r="44" spans="1:10">
      <c r="A44" s="24">
        <v>0.66</v>
      </c>
      <c r="B44" s="19">
        <v>6.6000000000000003E-2</v>
      </c>
      <c r="C44" s="20">
        <v>6.91</v>
      </c>
      <c r="D44" s="17">
        <v>0.44800000000000001</v>
      </c>
      <c r="E44" s="17">
        <v>3</v>
      </c>
      <c r="F44" s="21">
        <v>233</v>
      </c>
      <c r="G44" s="17">
        <v>17.899999999999999</v>
      </c>
      <c r="H44" s="22">
        <v>6.1689999999999996</v>
      </c>
      <c r="I44" s="23">
        <v>5.81</v>
      </c>
      <c r="J44" s="17">
        <v>25.3</v>
      </c>
    </row>
    <row r="45" spans="1:10">
      <c r="A45" s="24">
        <v>3.73</v>
      </c>
      <c r="B45" s="19">
        <v>6.5000000000000002E-2</v>
      </c>
      <c r="C45" s="20">
        <v>6.91</v>
      </c>
      <c r="D45" s="17">
        <v>0.44800000000000001</v>
      </c>
      <c r="E45" s="17">
        <v>3</v>
      </c>
      <c r="F45" s="21">
        <v>233</v>
      </c>
      <c r="G45" s="17">
        <v>17.899999999999999</v>
      </c>
      <c r="H45" s="22">
        <v>6.2110000000000003</v>
      </c>
      <c r="I45" s="23">
        <v>7.44</v>
      </c>
      <c r="J45" s="17">
        <v>24.7</v>
      </c>
    </row>
    <row r="46" spans="1:10">
      <c r="A46" s="24">
        <v>4.63</v>
      </c>
      <c r="B46" s="19">
        <v>0.4</v>
      </c>
      <c r="C46" s="20">
        <v>6.91</v>
      </c>
      <c r="D46" s="17">
        <v>0.44800000000000001</v>
      </c>
      <c r="E46" s="17">
        <v>3</v>
      </c>
      <c r="F46" s="21">
        <v>233</v>
      </c>
      <c r="G46" s="17">
        <v>17.899999999999999</v>
      </c>
      <c r="H46" s="22">
        <v>6.069</v>
      </c>
      <c r="I46" s="23">
        <v>9.5500000000000007</v>
      </c>
      <c r="J46" s="17">
        <v>21.2</v>
      </c>
    </row>
    <row r="47" spans="1:10">
      <c r="A47" s="24">
        <v>8.41</v>
      </c>
      <c r="B47" s="19">
        <v>0.33799999999999997</v>
      </c>
      <c r="C47" s="20">
        <v>6.91</v>
      </c>
      <c r="D47" s="17">
        <v>0.44800000000000001</v>
      </c>
      <c r="E47" s="17">
        <v>3</v>
      </c>
      <c r="F47" s="21">
        <v>233</v>
      </c>
      <c r="G47" s="17">
        <v>17.899999999999999</v>
      </c>
      <c r="H47" s="22">
        <v>5.6820000000000004</v>
      </c>
      <c r="I47" s="23">
        <v>10.210000000000001</v>
      </c>
      <c r="J47" s="17">
        <v>19.3</v>
      </c>
    </row>
    <row r="48" spans="1:10">
      <c r="A48" s="24">
        <v>5.66</v>
      </c>
      <c r="B48" s="19">
        <v>0.33299999999999996</v>
      </c>
      <c r="C48" s="20">
        <v>6.91</v>
      </c>
      <c r="D48" s="17">
        <v>0.44800000000000001</v>
      </c>
      <c r="E48" s="17">
        <v>3</v>
      </c>
      <c r="F48" s="21">
        <v>233</v>
      </c>
      <c r="G48" s="17">
        <v>17.899999999999999</v>
      </c>
      <c r="H48" s="22">
        <v>5.7859999999999996</v>
      </c>
      <c r="I48" s="23">
        <v>14.15</v>
      </c>
      <c r="J48" s="17">
        <v>20</v>
      </c>
    </row>
    <row r="49" spans="1:10">
      <c r="A49" s="24">
        <v>1.43</v>
      </c>
      <c r="B49" s="19">
        <v>0.85499999999999998</v>
      </c>
      <c r="C49" s="20">
        <v>6.91</v>
      </c>
      <c r="D49" s="17">
        <v>0.44800000000000001</v>
      </c>
      <c r="E49" s="17">
        <v>3</v>
      </c>
      <c r="F49" s="21">
        <v>233</v>
      </c>
      <c r="G49" s="17">
        <v>17.899999999999999</v>
      </c>
      <c r="H49" s="22">
        <v>6.03</v>
      </c>
      <c r="I49" s="23">
        <v>18.8</v>
      </c>
      <c r="J49" s="17">
        <v>16.600000000000001</v>
      </c>
    </row>
    <row r="50" spans="1:10">
      <c r="A50" s="24">
        <v>8.3000000000000007</v>
      </c>
      <c r="B50" s="19">
        <v>0.95299999999999996</v>
      </c>
      <c r="C50" s="20">
        <v>6.91</v>
      </c>
      <c r="D50" s="17">
        <v>0.44800000000000001</v>
      </c>
      <c r="E50" s="17">
        <v>3</v>
      </c>
      <c r="F50" s="21">
        <v>233</v>
      </c>
      <c r="G50" s="17">
        <v>17.899999999999999</v>
      </c>
      <c r="H50" s="22">
        <v>5.399</v>
      </c>
      <c r="I50" s="23">
        <v>30.81</v>
      </c>
      <c r="J50" s="17">
        <v>14.4</v>
      </c>
    </row>
    <row r="51" spans="1:10">
      <c r="A51" s="24">
        <v>8.24</v>
      </c>
      <c r="B51" s="19">
        <v>0.62</v>
      </c>
      <c r="C51" s="20">
        <v>6.91</v>
      </c>
      <c r="D51" s="17">
        <v>0.44800000000000001</v>
      </c>
      <c r="E51" s="17">
        <v>3</v>
      </c>
      <c r="F51" s="21">
        <v>233</v>
      </c>
      <c r="G51" s="17">
        <v>17.899999999999999</v>
      </c>
      <c r="H51" s="22">
        <v>5.6020000000000003</v>
      </c>
      <c r="I51" s="23">
        <v>16.2</v>
      </c>
      <c r="J51" s="17">
        <v>19.399999999999999</v>
      </c>
    </row>
    <row r="52" spans="1:10">
      <c r="A52" s="24">
        <v>0.63</v>
      </c>
      <c r="B52" s="19">
        <v>0.45700000000000002</v>
      </c>
      <c r="C52" s="20">
        <v>5.64</v>
      </c>
      <c r="D52" s="17">
        <v>0.439</v>
      </c>
      <c r="E52" s="17">
        <v>4</v>
      </c>
      <c r="F52" s="21">
        <v>243</v>
      </c>
      <c r="G52" s="17">
        <v>16.8</v>
      </c>
      <c r="H52" s="22">
        <v>5.9630000000000001</v>
      </c>
      <c r="I52" s="23">
        <v>13.45</v>
      </c>
      <c r="J52" s="17">
        <v>19.7</v>
      </c>
    </row>
    <row r="53" spans="1:10">
      <c r="A53" s="24">
        <v>2.69</v>
      </c>
      <c r="B53" s="19">
        <v>0.63</v>
      </c>
      <c r="C53" s="20">
        <v>5.64</v>
      </c>
      <c r="D53" s="17">
        <v>0.439</v>
      </c>
      <c r="E53" s="17">
        <v>4</v>
      </c>
      <c r="F53" s="21">
        <v>243</v>
      </c>
      <c r="G53" s="17">
        <v>16.8</v>
      </c>
      <c r="H53" s="22">
        <v>6.1150000000000002</v>
      </c>
      <c r="I53" s="23">
        <v>9.43</v>
      </c>
      <c r="J53" s="17">
        <v>20.5</v>
      </c>
    </row>
    <row r="54" spans="1:10">
      <c r="A54" s="24">
        <v>0.42</v>
      </c>
      <c r="B54" s="19">
        <v>0.21100000000000002</v>
      </c>
      <c r="C54" s="20">
        <v>5.64</v>
      </c>
      <c r="D54" s="17">
        <v>0.439</v>
      </c>
      <c r="E54" s="17">
        <v>4</v>
      </c>
      <c r="F54" s="21">
        <v>243</v>
      </c>
      <c r="G54" s="17">
        <v>16.8</v>
      </c>
      <c r="H54" s="22">
        <v>6.5110000000000001</v>
      </c>
      <c r="I54" s="23">
        <v>5.28</v>
      </c>
      <c r="J54" s="17">
        <v>25</v>
      </c>
    </row>
    <row r="55" spans="1:10">
      <c r="A55" s="24">
        <v>5.84</v>
      </c>
      <c r="B55" s="19">
        <v>0.214</v>
      </c>
      <c r="C55" s="20">
        <v>5.64</v>
      </c>
      <c r="D55" s="17">
        <v>0.439</v>
      </c>
      <c r="E55" s="17">
        <v>4</v>
      </c>
      <c r="F55" s="21">
        <v>243</v>
      </c>
      <c r="G55" s="17">
        <v>16.8</v>
      </c>
      <c r="H55" s="22">
        <v>5.9980000000000002</v>
      </c>
      <c r="I55" s="23">
        <v>8.43</v>
      </c>
      <c r="J55" s="17">
        <v>23.4</v>
      </c>
    </row>
    <row r="56" spans="1:10">
      <c r="A56" s="24">
        <v>1.51</v>
      </c>
      <c r="B56" s="19">
        <v>0.47600000000000003</v>
      </c>
      <c r="C56" s="20">
        <v>4</v>
      </c>
      <c r="D56" s="17">
        <v>0.41</v>
      </c>
      <c r="E56" s="17">
        <v>3</v>
      </c>
      <c r="F56" s="21">
        <v>469</v>
      </c>
      <c r="G56" s="17">
        <v>21.1</v>
      </c>
      <c r="H56" s="22">
        <v>5.8879999999999999</v>
      </c>
      <c r="I56" s="23">
        <v>14.8</v>
      </c>
      <c r="J56" s="17">
        <v>18.899999999999999</v>
      </c>
    </row>
    <row r="57" spans="1:10">
      <c r="A57" s="24">
        <v>5.03</v>
      </c>
      <c r="B57" s="19">
        <v>0.219</v>
      </c>
      <c r="C57" s="20">
        <v>1.22</v>
      </c>
      <c r="D57" s="17">
        <v>0.40300000000000002</v>
      </c>
      <c r="E57" s="17">
        <v>5</v>
      </c>
      <c r="F57" s="21">
        <v>226</v>
      </c>
      <c r="G57" s="17">
        <v>17.899999999999999</v>
      </c>
      <c r="H57" s="22">
        <v>7.2489999999999997</v>
      </c>
      <c r="I57" s="23">
        <v>4.8099999999999996</v>
      </c>
      <c r="J57" s="17">
        <v>35.4</v>
      </c>
    </row>
    <row r="58" spans="1:10">
      <c r="A58" s="24">
        <v>7.17</v>
      </c>
      <c r="B58" s="19">
        <v>0.35700000000000004</v>
      </c>
      <c r="C58" s="20">
        <v>0.74</v>
      </c>
      <c r="D58" s="17">
        <v>0.41</v>
      </c>
      <c r="E58" s="17">
        <v>2</v>
      </c>
      <c r="F58" s="21">
        <v>313</v>
      </c>
      <c r="G58" s="17">
        <v>17.3</v>
      </c>
      <c r="H58" s="22">
        <v>6.383</v>
      </c>
      <c r="I58" s="23">
        <v>5.77</v>
      </c>
      <c r="J58" s="17">
        <v>24.7</v>
      </c>
    </row>
    <row r="59" spans="1:10">
      <c r="A59" s="24">
        <v>3.6</v>
      </c>
      <c r="B59" s="19">
        <v>0.40500000000000003</v>
      </c>
      <c r="C59" s="20">
        <v>1.32</v>
      </c>
      <c r="D59" s="17">
        <v>0.41099999999999998</v>
      </c>
      <c r="E59" s="17">
        <v>5</v>
      </c>
      <c r="F59" s="21">
        <v>256</v>
      </c>
      <c r="G59" s="17">
        <v>15.1</v>
      </c>
      <c r="H59" s="22">
        <v>6.8159999999999998</v>
      </c>
      <c r="I59" s="23">
        <v>3.95</v>
      </c>
      <c r="J59" s="17">
        <v>31.6</v>
      </c>
    </row>
    <row r="60" spans="1:10">
      <c r="A60" s="24">
        <v>3.01</v>
      </c>
      <c r="B60" s="19">
        <v>0.29199999999999998</v>
      </c>
      <c r="C60" s="20">
        <v>5.13</v>
      </c>
      <c r="D60" s="17">
        <v>0.45300000000000001</v>
      </c>
      <c r="E60" s="17">
        <v>8</v>
      </c>
      <c r="F60" s="21">
        <v>284</v>
      </c>
      <c r="G60" s="17">
        <v>19.7</v>
      </c>
      <c r="H60" s="22">
        <v>6.1449999999999996</v>
      </c>
      <c r="I60" s="23">
        <v>6.86</v>
      </c>
      <c r="J60" s="17">
        <v>23.3</v>
      </c>
    </row>
    <row r="61" spans="1:10">
      <c r="A61" s="24">
        <v>0.73</v>
      </c>
      <c r="B61" s="19">
        <v>0.47200000000000003</v>
      </c>
      <c r="C61" s="20">
        <v>5.13</v>
      </c>
      <c r="D61" s="17">
        <v>0.45300000000000001</v>
      </c>
      <c r="E61" s="17">
        <v>8</v>
      </c>
      <c r="F61" s="21">
        <v>284</v>
      </c>
      <c r="G61" s="17">
        <v>19.7</v>
      </c>
      <c r="H61" s="22">
        <v>5.9269999999999996</v>
      </c>
      <c r="I61" s="23">
        <v>9.2200000000000006</v>
      </c>
      <c r="J61" s="17">
        <v>19.600000000000001</v>
      </c>
    </row>
    <row r="62" spans="1:10">
      <c r="A62" s="24">
        <v>3.3</v>
      </c>
      <c r="B62" s="19">
        <v>0.66200000000000003</v>
      </c>
      <c r="C62" s="20">
        <v>5.13</v>
      </c>
      <c r="D62" s="17">
        <v>0.45300000000000001</v>
      </c>
      <c r="E62" s="17">
        <v>8</v>
      </c>
      <c r="F62" s="21">
        <v>284</v>
      </c>
      <c r="G62" s="17">
        <v>19.7</v>
      </c>
      <c r="H62" s="22">
        <v>5.7409999999999997</v>
      </c>
      <c r="I62" s="23">
        <v>13.15</v>
      </c>
      <c r="J62" s="17">
        <v>18.7</v>
      </c>
    </row>
    <row r="63" spans="1:10">
      <c r="A63" s="24">
        <v>1.97</v>
      </c>
      <c r="B63" s="19">
        <v>0.93400000000000005</v>
      </c>
      <c r="C63" s="20">
        <v>5.13</v>
      </c>
      <c r="D63" s="17">
        <v>0.45300000000000001</v>
      </c>
      <c r="E63" s="17">
        <v>8</v>
      </c>
      <c r="F63" s="21">
        <v>284</v>
      </c>
      <c r="G63" s="17">
        <v>19.7</v>
      </c>
      <c r="H63" s="22">
        <v>5.9660000000000002</v>
      </c>
      <c r="I63" s="23">
        <v>14.44</v>
      </c>
      <c r="J63" s="17">
        <v>16</v>
      </c>
    </row>
    <row r="64" spans="1:10">
      <c r="A64" s="24">
        <v>9.65</v>
      </c>
      <c r="B64" s="19">
        <v>0.67799999999999994</v>
      </c>
      <c r="C64" s="20">
        <v>5.13</v>
      </c>
      <c r="D64" s="17">
        <v>0.45300000000000001</v>
      </c>
      <c r="E64" s="17">
        <v>8</v>
      </c>
      <c r="F64" s="21">
        <v>284</v>
      </c>
      <c r="G64" s="17">
        <v>19.7</v>
      </c>
      <c r="H64" s="22">
        <v>6.4560000000000004</v>
      </c>
      <c r="I64" s="23">
        <v>6.73</v>
      </c>
      <c r="J64" s="17">
        <v>22.2</v>
      </c>
    </row>
    <row r="65" spans="1:10">
      <c r="A65" s="24">
        <v>0.43</v>
      </c>
      <c r="B65" s="19">
        <v>0.434</v>
      </c>
      <c r="C65" s="20">
        <v>5.13</v>
      </c>
      <c r="D65" s="17">
        <v>0.45300000000000001</v>
      </c>
      <c r="E65" s="17">
        <v>8</v>
      </c>
      <c r="F65" s="21">
        <v>284</v>
      </c>
      <c r="G65" s="17">
        <v>19.7</v>
      </c>
      <c r="H65" s="22">
        <v>6.7619999999999996</v>
      </c>
      <c r="I65" s="23">
        <v>9.5</v>
      </c>
      <c r="J65" s="17">
        <v>25</v>
      </c>
    </row>
    <row r="66" spans="1:10">
      <c r="A66" s="24">
        <v>1.97</v>
      </c>
      <c r="B66" s="19">
        <v>0.59499999999999997</v>
      </c>
      <c r="C66" s="20">
        <v>1.38</v>
      </c>
      <c r="D66" s="17">
        <v>0.41610000000000003</v>
      </c>
      <c r="E66" s="17">
        <v>3</v>
      </c>
      <c r="F66" s="21">
        <v>216</v>
      </c>
      <c r="G66" s="17">
        <v>18.600000000000001</v>
      </c>
      <c r="H66" s="22">
        <v>7.1040000000000001</v>
      </c>
      <c r="I66" s="23">
        <v>8.0500000000000007</v>
      </c>
      <c r="J66" s="17">
        <v>33</v>
      </c>
    </row>
    <row r="67" spans="1:10">
      <c r="A67" s="24">
        <v>7.65</v>
      </c>
      <c r="B67" s="19">
        <v>0.17800000000000002</v>
      </c>
      <c r="C67" s="20">
        <v>3.37</v>
      </c>
      <c r="D67" s="17">
        <v>0.39800000000000002</v>
      </c>
      <c r="E67" s="17">
        <v>4</v>
      </c>
      <c r="F67" s="21">
        <v>337</v>
      </c>
      <c r="G67" s="17">
        <v>16.100000000000001</v>
      </c>
      <c r="H67" s="22">
        <v>6.29</v>
      </c>
      <c r="I67" s="23">
        <v>4.67</v>
      </c>
      <c r="J67" s="17">
        <v>23.5</v>
      </c>
    </row>
    <row r="68" spans="1:10">
      <c r="A68" s="24">
        <v>7.48</v>
      </c>
      <c r="B68" s="19">
        <v>0.311</v>
      </c>
      <c r="C68" s="20">
        <v>3.37</v>
      </c>
      <c r="D68" s="17">
        <v>0.39800000000000002</v>
      </c>
      <c r="E68" s="17">
        <v>4</v>
      </c>
      <c r="F68" s="21">
        <v>337</v>
      </c>
      <c r="G68" s="17">
        <v>16.100000000000001</v>
      </c>
      <c r="H68" s="22">
        <v>5.7869999999999999</v>
      </c>
      <c r="I68" s="23">
        <v>10.24</v>
      </c>
      <c r="J68" s="17">
        <v>19.399999999999999</v>
      </c>
    </row>
    <row r="69" spans="1:10">
      <c r="A69" s="24">
        <v>5.7</v>
      </c>
      <c r="B69" s="19">
        <v>0.214</v>
      </c>
      <c r="C69" s="20">
        <v>6.07</v>
      </c>
      <c r="D69" s="17">
        <v>0.40899999999999997</v>
      </c>
      <c r="E69" s="17">
        <v>4</v>
      </c>
      <c r="F69" s="21">
        <v>345</v>
      </c>
      <c r="G69" s="17">
        <v>18.899999999999999</v>
      </c>
      <c r="H69" s="22">
        <v>5.8780000000000001</v>
      </c>
      <c r="I69" s="23">
        <v>8.1</v>
      </c>
      <c r="J69" s="17">
        <v>22</v>
      </c>
    </row>
    <row r="70" spans="1:10">
      <c r="A70" s="24">
        <v>5.94</v>
      </c>
      <c r="B70" s="19">
        <v>0.36799999999999999</v>
      </c>
      <c r="C70" s="20">
        <v>6.07</v>
      </c>
      <c r="D70" s="17">
        <v>0.40899999999999997</v>
      </c>
      <c r="E70" s="17">
        <v>4</v>
      </c>
      <c r="F70" s="21">
        <v>345</v>
      </c>
      <c r="G70" s="17">
        <v>18.899999999999999</v>
      </c>
      <c r="H70" s="22">
        <v>5.5940000000000003</v>
      </c>
      <c r="I70" s="23">
        <v>13.09</v>
      </c>
      <c r="J70" s="17">
        <v>17.399999999999999</v>
      </c>
    </row>
    <row r="71" spans="1:10">
      <c r="A71" s="24">
        <v>3.96</v>
      </c>
      <c r="B71" s="19">
        <v>0.33</v>
      </c>
      <c r="C71" s="20">
        <v>6.07</v>
      </c>
      <c r="D71" s="17">
        <v>0.40899999999999997</v>
      </c>
      <c r="E71" s="17">
        <v>4</v>
      </c>
      <c r="F71" s="21">
        <v>345</v>
      </c>
      <c r="G71" s="17">
        <v>18.899999999999999</v>
      </c>
      <c r="H71" s="22">
        <v>5.8849999999999998</v>
      </c>
      <c r="I71" s="23">
        <v>8.7899999999999991</v>
      </c>
      <c r="J71" s="17">
        <v>20.9</v>
      </c>
    </row>
    <row r="72" spans="1:10">
      <c r="A72" s="24">
        <v>4.8600000000000003</v>
      </c>
      <c r="B72" s="19">
        <v>6.6000000000000003E-2</v>
      </c>
      <c r="C72" s="20">
        <v>10.81</v>
      </c>
      <c r="D72" s="17">
        <v>0.41299999999999998</v>
      </c>
      <c r="E72" s="17">
        <v>4</v>
      </c>
      <c r="F72" s="21">
        <v>305</v>
      </c>
      <c r="G72" s="17">
        <v>19.2</v>
      </c>
      <c r="H72" s="22">
        <v>6.4169999999999998</v>
      </c>
      <c r="I72" s="23">
        <v>6.72</v>
      </c>
      <c r="J72" s="17">
        <v>24.2</v>
      </c>
    </row>
    <row r="73" spans="1:10">
      <c r="A73" s="24">
        <v>0.63</v>
      </c>
      <c r="B73" s="19">
        <v>0.17500000000000002</v>
      </c>
      <c r="C73" s="20">
        <v>10.81</v>
      </c>
      <c r="D73" s="17">
        <v>0.41299999999999998</v>
      </c>
      <c r="E73" s="17">
        <v>4</v>
      </c>
      <c r="F73" s="21">
        <v>305</v>
      </c>
      <c r="G73" s="17">
        <v>19.2</v>
      </c>
      <c r="H73" s="22">
        <v>5.9610000000000003</v>
      </c>
      <c r="I73" s="23">
        <v>9.8800000000000008</v>
      </c>
      <c r="J73" s="17">
        <v>21.7</v>
      </c>
    </row>
    <row r="74" spans="1:10">
      <c r="A74" s="24">
        <v>1.0900000000000001</v>
      </c>
      <c r="B74" s="19">
        <v>7.8E-2</v>
      </c>
      <c r="C74" s="20">
        <v>10.81</v>
      </c>
      <c r="D74" s="17">
        <v>0.41299999999999998</v>
      </c>
      <c r="E74" s="17">
        <v>4</v>
      </c>
      <c r="F74" s="21">
        <v>305</v>
      </c>
      <c r="G74" s="17">
        <v>19.2</v>
      </c>
      <c r="H74" s="22">
        <v>6.0650000000000004</v>
      </c>
      <c r="I74" s="23">
        <v>5.52</v>
      </c>
      <c r="J74" s="17">
        <v>22.8</v>
      </c>
    </row>
    <row r="75" spans="1:10">
      <c r="A75" s="24">
        <v>3.28</v>
      </c>
      <c r="B75" s="19">
        <v>6.2000000000000006E-2</v>
      </c>
      <c r="C75" s="20">
        <v>10.81</v>
      </c>
      <c r="D75" s="17">
        <v>0.41299999999999998</v>
      </c>
      <c r="E75" s="17">
        <v>4</v>
      </c>
      <c r="F75" s="21">
        <v>305</v>
      </c>
      <c r="G75" s="17">
        <v>19.2</v>
      </c>
      <c r="H75" s="22">
        <v>6.2450000000000001</v>
      </c>
      <c r="I75" s="23">
        <v>7.54</v>
      </c>
      <c r="J75" s="17">
        <v>23.4</v>
      </c>
    </row>
    <row r="76" spans="1:10">
      <c r="A76" s="24">
        <v>6.44</v>
      </c>
      <c r="B76" s="19">
        <v>0.06</v>
      </c>
      <c r="C76" s="20">
        <v>12.83</v>
      </c>
      <c r="D76" s="17">
        <v>0.437</v>
      </c>
      <c r="E76" s="17">
        <v>5</v>
      </c>
      <c r="F76" s="21">
        <v>398</v>
      </c>
      <c r="G76" s="17">
        <v>18.7</v>
      </c>
      <c r="H76" s="22">
        <v>6.2729999999999997</v>
      </c>
      <c r="I76" s="23">
        <v>6.78</v>
      </c>
      <c r="J76" s="17">
        <v>24.1</v>
      </c>
    </row>
    <row r="77" spans="1:10">
      <c r="A77" s="24">
        <v>8.23</v>
      </c>
      <c r="B77" s="19">
        <v>0.45</v>
      </c>
      <c r="C77" s="20">
        <v>12.83</v>
      </c>
      <c r="D77" s="17">
        <v>0.437</v>
      </c>
      <c r="E77" s="17">
        <v>5</v>
      </c>
      <c r="F77" s="21">
        <v>398</v>
      </c>
      <c r="G77" s="17">
        <v>18.7</v>
      </c>
      <c r="H77" s="22">
        <v>6.2859999999999996</v>
      </c>
      <c r="I77" s="23">
        <v>8.94</v>
      </c>
      <c r="J77" s="17">
        <v>21.4</v>
      </c>
    </row>
    <row r="78" spans="1:10">
      <c r="A78" s="24">
        <v>2.99</v>
      </c>
      <c r="B78" s="19">
        <v>0.745</v>
      </c>
      <c r="C78" s="20">
        <v>12.83</v>
      </c>
      <c r="D78" s="17">
        <v>0.437</v>
      </c>
      <c r="E78" s="17">
        <v>5</v>
      </c>
      <c r="F78" s="21">
        <v>398</v>
      </c>
      <c r="G78" s="17">
        <v>18.7</v>
      </c>
      <c r="H78" s="22">
        <v>6.2789999999999999</v>
      </c>
      <c r="I78" s="23">
        <v>11.97</v>
      </c>
      <c r="J78" s="17">
        <v>20</v>
      </c>
    </row>
    <row r="79" spans="1:10">
      <c r="A79" s="24">
        <v>7.67</v>
      </c>
      <c r="B79" s="19">
        <v>0.45799999999999996</v>
      </c>
      <c r="C79" s="20">
        <v>12.83</v>
      </c>
      <c r="D79" s="17">
        <v>0.437</v>
      </c>
      <c r="E79" s="17">
        <v>5</v>
      </c>
      <c r="F79" s="21">
        <v>398</v>
      </c>
      <c r="G79" s="17">
        <v>18.7</v>
      </c>
      <c r="H79" s="22">
        <v>6.14</v>
      </c>
      <c r="I79" s="23">
        <v>10.27</v>
      </c>
      <c r="J79" s="17">
        <v>20.8</v>
      </c>
    </row>
    <row r="80" spans="1:10">
      <c r="A80" s="24">
        <v>7.9</v>
      </c>
      <c r="B80" s="19">
        <v>0.53700000000000003</v>
      </c>
      <c r="C80" s="20">
        <v>12.83</v>
      </c>
      <c r="D80" s="17">
        <v>0.437</v>
      </c>
      <c r="E80" s="17">
        <v>5</v>
      </c>
      <c r="F80" s="21">
        <v>398</v>
      </c>
      <c r="G80" s="17">
        <v>18.7</v>
      </c>
      <c r="H80" s="22">
        <v>6.2320000000000002</v>
      </c>
      <c r="I80" s="23">
        <v>12.34</v>
      </c>
      <c r="J80" s="17">
        <v>21.2</v>
      </c>
    </row>
    <row r="81" spans="1:10">
      <c r="A81" s="24">
        <v>3.84</v>
      </c>
      <c r="B81" s="19">
        <v>0.36600000000000005</v>
      </c>
      <c r="C81" s="20">
        <v>12.83</v>
      </c>
      <c r="D81" s="17">
        <v>0.437</v>
      </c>
      <c r="E81" s="17">
        <v>5</v>
      </c>
      <c r="F81" s="21">
        <v>398</v>
      </c>
      <c r="G81" s="17">
        <v>18.7</v>
      </c>
      <c r="H81" s="22">
        <v>5.8739999999999997</v>
      </c>
      <c r="I81" s="23">
        <v>9.1</v>
      </c>
      <c r="J81" s="17">
        <v>20.3</v>
      </c>
    </row>
    <row r="82" spans="1:10">
      <c r="A82" s="24">
        <v>9.23</v>
      </c>
      <c r="B82" s="19">
        <v>0.33500000000000002</v>
      </c>
      <c r="C82" s="20">
        <v>4.8600000000000003</v>
      </c>
      <c r="D82" s="17">
        <v>0.42599999999999999</v>
      </c>
      <c r="E82" s="17">
        <v>4</v>
      </c>
      <c r="F82" s="21">
        <v>281</v>
      </c>
      <c r="G82" s="17">
        <v>19</v>
      </c>
      <c r="H82" s="22">
        <v>6.7270000000000003</v>
      </c>
      <c r="I82" s="23">
        <v>5.29</v>
      </c>
      <c r="J82" s="17">
        <v>28</v>
      </c>
    </row>
    <row r="83" spans="1:10">
      <c r="A83" s="24">
        <v>1.05</v>
      </c>
      <c r="B83" s="19">
        <v>0.70400000000000007</v>
      </c>
      <c r="C83" s="20">
        <v>4.8600000000000003</v>
      </c>
      <c r="D83" s="17">
        <v>0.42599999999999999</v>
      </c>
      <c r="E83" s="17">
        <v>4</v>
      </c>
      <c r="F83" s="21">
        <v>281</v>
      </c>
      <c r="G83" s="17">
        <v>19</v>
      </c>
      <c r="H83" s="22">
        <v>6.6189999999999998</v>
      </c>
      <c r="I83" s="23">
        <v>7.22</v>
      </c>
      <c r="J83" s="17">
        <v>23.9</v>
      </c>
    </row>
    <row r="84" spans="1:10">
      <c r="A84" s="24">
        <v>1.96</v>
      </c>
      <c r="B84" s="19">
        <v>0.32200000000000001</v>
      </c>
      <c r="C84" s="20">
        <v>4.8600000000000003</v>
      </c>
      <c r="D84" s="17">
        <v>0.42599999999999999</v>
      </c>
      <c r="E84" s="17">
        <v>4</v>
      </c>
      <c r="F84" s="21">
        <v>281</v>
      </c>
      <c r="G84" s="17">
        <v>19</v>
      </c>
      <c r="H84" s="22">
        <v>6.3019999999999996</v>
      </c>
      <c r="I84" s="23">
        <v>6.72</v>
      </c>
      <c r="J84" s="17">
        <v>24.8</v>
      </c>
    </row>
    <row r="85" spans="1:10">
      <c r="A85" s="24">
        <v>3.43</v>
      </c>
      <c r="B85" s="19">
        <v>0.46700000000000003</v>
      </c>
      <c r="C85" s="20">
        <v>4.8600000000000003</v>
      </c>
      <c r="D85" s="17">
        <v>0.42599999999999999</v>
      </c>
      <c r="E85" s="17">
        <v>4</v>
      </c>
      <c r="F85" s="21">
        <v>281</v>
      </c>
      <c r="G85" s="17">
        <v>19</v>
      </c>
      <c r="H85" s="22">
        <v>6.1669999999999998</v>
      </c>
      <c r="I85" s="23">
        <v>7.51</v>
      </c>
      <c r="J85" s="17">
        <v>22.9</v>
      </c>
    </row>
    <row r="86" spans="1:10">
      <c r="A86" s="24">
        <v>6.36</v>
      </c>
      <c r="B86" s="19">
        <v>0.48</v>
      </c>
      <c r="C86" s="20">
        <v>4.49</v>
      </c>
      <c r="D86" s="17">
        <v>0.44900000000000001</v>
      </c>
      <c r="E86" s="17">
        <v>3</v>
      </c>
      <c r="F86" s="21">
        <v>247</v>
      </c>
      <c r="G86" s="17">
        <v>18.5</v>
      </c>
      <c r="H86" s="22">
        <v>6.3890000000000002</v>
      </c>
      <c r="I86" s="23">
        <v>9.6199999999999992</v>
      </c>
      <c r="J86" s="17">
        <v>23.9</v>
      </c>
    </row>
    <row r="87" spans="1:10">
      <c r="A87" s="24">
        <v>6.55</v>
      </c>
      <c r="B87" s="19">
        <v>0.56100000000000005</v>
      </c>
      <c r="C87" s="20">
        <v>4.49</v>
      </c>
      <c r="D87" s="17">
        <v>0.44900000000000001</v>
      </c>
      <c r="E87" s="17">
        <v>3</v>
      </c>
      <c r="F87" s="21">
        <v>247</v>
      </c>
      <c r="G87" s="17">
        <v>18.5</v>
      </c>
      <c r="H87" s="22">
        <v>6.63</v>
      </c>
      <c r="I87" s="23">
        <v>6.53</v>
      </c>
      <c r="J87" s="17">
        <v>26.6</v>
      </c>
    </row>
    <row r="88" spans="1:10">
      <c r="A88" s="24">
        <v>6.42</v>
      </c>
      <c r="B88" s="19">
        <v>0.45100000000000001</v>
      </c>
      <c r="C88" s="20">
        <v>4.49</v>
      </c>
      <c r="D88" s="17">
        <v>0.44900000000000001</v>
      </c>
      <c r="E88" s="17">
        <v>3</v>
      </c>
      <c r="F88" s="21">
        <v>247</v>
      </c>
      <c r="G88" s="17">
        <v>18.5</v>
      </c>
      <c r="H88" s="22">
        <v>6.0149999999999997</v>
      </c>
      <c r="I88" s="23">
        <v>12.86</v>
      </c>
      <c r="J88" s="17">
        <v>22.5</v>
      </c>
    </row>
    <row r="89" spans="1:10">
      <c r="A89" s="24">
        <v>3.15</v>
      </c>
      <c r="B89" s="19">
        <v>0.56799999999999995</v>
      </c>
      <c r="C89" s="20">
        <v>4.49</v>
      </c>
      <c r="D89" s="17">
        <v>0.44900000000000001</v>
      </c>
      <c r="E89" s="17">
        <v>3</v>
      </c>
      <c r="F89" s="21">
        <v>247</v>
      </c>
      <c r="G89" s="17">
        <v>18.5</v>
      </c>
      <c r="H89" s="22">
        <v>6.1210000000000004</v>
      </c>
      <c r="I89" s="23">
        <v>8.44</v>
      </c>
      <c r="J89" s="17">
        <v>22.2</v>
      </c>
    </row>
    <row r="90" spans="1:10">
      <c r="A90" s="24">
        <v>9.27</v>
      </c>
      <c r="B90" s="19">
        <v>0.86299999999999999</v>
      </c>
      <c r="C90" s="20">
        <v>3.41</v>
      </c>
      <c r="D90" s="17">
        <v>0.48899999999999999</v>
      </c>
      <c r="E90" s="17">
        <v>2</v>
      </c>
      <c r="F90" s="21">
        <v>270</v>
      </c>
      <c r="G90" s="17">
        <v>17.8</v>
      </c>
      <c r="H90" s="22">
        <v>7.0069999999999997</v>
      </c>
      <c r="I90" s="23">
        <v>5.5</v>
      </c>
      <c r="J90" s="17">
        <v>23.6</v>
      </c>
    </row>
    <row r="91" spans="1:10">
      <c r="A91" s="24">
        <v>3.7</v>
      </c>
      <c r="B91" s="19">
        <v>0.63100000000000001</v>
      </c>
      <c r="C91" s="20">
        <v>3.41</v>
      </c>
      <c r="D91" s="17">
        <v>0.48899999999999999</v>
      </c>
      <c r="E91" s="17">
        <v>2</v>
      </c>
      <c r="F91" s="21">
        <v>270</v>
      </c>
      <c r="G91" s="17">
        <v>17.8</v>
      </c>
      <c r="H91" s="22">
        <v>7.0789999999999997</v>
      </c>
      <c r="I91" s="23">
        <v>5.7</v>
      </c>
      <c r="J91" s="17">
        <v>28.7</v>
      </c>
    </row>
    <row r="92" spans="1:10">
      <c r="A92" s="24">
        <v>1.28</v>
      </c>
      <c r="B92" s="19">
        <v>0.66099999999999992</v>
      </c>
      <c r="C92" s="20">
        <v>3.41</v>
      </c>
      <c r="D92" s="17">
        <v>0.48899999999999999</v>
      </c>
      <c r="E92" s="17">
        <v>2</v>
      </c>
      <c r="F92" s="21">
        <v>270</v>
      </c>
      <c r="G92" s="17">
        <v>17.8</v>
      </c>
      <c r="H92" s="22">
        <v>6.4169999999999998</v>
      </c>
      <c r="I92" s="23">
        <v>8.81</v>
      </c>
      <c r="J92" s="17">
        <v>22.6</v>
      </c>
    </row>
    <row r="93" spans="1:10">
      <c r="A93" s="24">
        <v>0.91</v>
      </c>
      <c r="B93" s="19">
        <v>0.7390000000000001</v>
      </c>
      <c r="C93" s="20">
        <v>3.41</v>
      </c>
      <c r="D93" s="17">
        <v>0.48899999999999999</v>
      </c>
      <c r="E93" s="17">
        <v>2</v>
      </c>
      <c r="F93" s="21">
        <v>270</v>
      </c>
      <c r="G93" s="17">
        <v>17.8</v>
      </c>
      <c r="H93" s="22">
        <v>6.4050000000000002</v>
      </c>
      <c r="I93" s="23">
        <v>8.1999999999999993</v>
      </c>
      <c r="J93" s="17">
        <v>22</v>
      </c>
    </row>
    <row r="94" spans="1:10">
      <c r="A94" s="24">
        <v>9.07</v>
      </c>
      <c r="B94" s="19">
        <v>0.53600000000000003</v>
      </c>
      <c r="C94" s="20">
        <v>15.04</v>
      </c>
      <c r="D94" s="17">
        <v>0.46400000000000002</v>
      </c>
      <c r="E94" s="17">
        <v>4</v>
      </c>
      <c r="F94" s="21">
        <v>270</v>
      </c>
      <c r="G94" s="17">
        <v>18.2</v>
      </c>
      <c r="H94" s="22">
        <v>6.4420000000000002</v>
      </c>
      <c r="I94" s="23">
        <v>8.16</v>
      </c>
      <c r="J94" s="17">
        <v>22.9</v>
      </c>
    </row>
    <row r="95" spans="1:10">
      <c r="A95" s="24">
        <v>5.8</v>
      </c>
      <c r="B95" s="19">
        <v>0.28899999999999998</v>
      </c>
      <c r="C95" s="20">
        <v>15.04</v>
      </c>
      <c r="D95" s="17">
        <v>0.46400000000000002</v>
      </c>
      <c r="E95" s="17">
        <v>4</v>
      </c>
      <c r="F95" s="21">
        <v>270</v>
      </c>
      <c r="G95" s="17">
        <v>18.2</v>
      </c>
      <c r="H95" s="22">
        <v>6.2110000000000003</v>
      </c>
      <c r="I95" s="23">
        <v>6.21</v>
      </c>
      <c r="J95" s="17">
        <v>25</v>
      </c>
    </row>
    <row r="96" spans="1:10">
      <c r="A96" s="24">
        <v>2.61</v>
      </c>
      <c r="B96" s="19">
        <v>0.77300000000000002</v>
      </c>
      <c r="C96" s="20">
        <v>15.04</v>
      </c>
      <c r="D96" s="17">
        <v>0.46400000000000002</v>
      </c>
      <c r="E96" s="17">
        <v>4</v>
      </c>
      <c r="F96" s="21">
        <v>270</v>
      </c>
      <c r="G96" s="17">
        <v>18.2</v>
      </c>
      <c r="H96" s="22">
        <v>6.2489999999999997</v>
      </c>
      <c r="I96" s="23">
        <v>10.59</v>
      </c>
      <c r="J96" s="17">
        <v>20.6</v>
      </c>
    </row>
    <row r="97" spans="1:10">
      <c r="A97" s="24">
        <v>7.21</v>
      </c>
      <c r="B97" s="19">
        <v>0.57799999999999996</v>
      </c>
      <c r="C97" s="20">
        <v>2.89</v>
      </c>
      <c r="D97" s="17">
        <v>0.44500000000000001</v>
      </c>
      <c r="E97" s="17">
        <v>2</v>
      </c>
      <c r="F97" s="21">
        <v>276</v>
      </c>
      <c r="G97" s="17">
        <v>18</v>
      </c>
      <c r="H97" s="22">
        <v>6.625</v>
      </c>
      <c r="I97" s="23">
        <v>6.65</v>
      </c>
      <c r="J97" s="17">
        <v>28.4</v>
      </c>
    </row>
    <row r="98" spans="1:10">
      <c r="A98" s="24">
        <v>3.15</v>
      </c>
      <c r="B98" s="19">
        <v>0.69599999999999995</v>
      </c>
      <c r="C98" s="20">
        <v>2.89</v>
      </c>
      <c r="D98" s="17">
        <v>0.44500000000000001</v>
      </c>
      <c r="E98" s="17">
        <v>2</v>
      </c>
      <c r="F98" s="21">
        <v>276</v>
      </c>
      <c r="G98" s="17">
        <v>18</v>
      </c>
      <c r="H98" s="22">
        <v>6.1630000000000003</v>
      </c>
      <c r="I98" s="23">
        <v>11.34</v>
      </c>
      <c r="J98" s="17">
        <v>21.4</v>
      </c>
    </row>
    <row r="99" spans="1:10">
      <c r="A99" s="24">
        <v>8.16</v>
      </c>
      <c r="B99" s="19">
        <v>0.76</v>
      </c>
      <c r="C99" s="20">
        <v>2.89</v>
      </c>
      <c r="D99" s="17">
        <v>0.44500000000000001</v>
      </c>
      <c r="E99" s="17">
        <v>2</v>
      </c>
      <c r="F99" s="21">
        <v>276</v>
      </c>
      <c r="G99" s="17">
        <v>18</v>
      </c>
      <c r="H99" s="22">
        <v>8.0690000000000008</v>
      </c>
      <c r="I99" s="23">
        <v>4.21</v>
      </c>
      <c r="J99" s="17">
        <v>38.700000000000003</v>
      </c>
    </row>
    <row r="100" spans="1:10">
      <c r="A100" s="24">
        <v>5.75</v>
      </c>
      <c r="B100" s="19">
        <v>0.36899999999999999</v>
      </c>
      <c r="C100" s="20">
        <v>2.89</v>
      </c>
      <c r="D100" s="17">
        <v>0.44500000000000001</v>
      </c>
      <c r="E100" s="17">
        <v>2</v>
      </c>
      <c r="F100" s="21">
        <v>276</v>
      </c>
      <c r="G100" s="17">
        <v>18</v>
      </c>
      <c r="H100" s="22">
        <v>7.82</v>
      </c>
      <c r="I100" s="23">
        <v>3.57</v>
      </c>
      <c r="J100" s="17">
        <v>43.8</v>
      </c>
    </row>
    <row r="101" spans="1:10">
      <c r="A101" s="24">
        <v>4.46</v>
      </c>
      <c r="B101" s="19">
        <v>0.625</v>
      </c>
      <c r="C101" s="20">
        <v>2.89</v>
      </c>
      <c r="D101" s="17">
        <v>0.44500000000000001</v>
      </c>
      <c r="E101" s="17">
        <v>2</v>
      </c>
      <c r="F101" s="21">
        <v>276</v>
      </c>
      <c r="G101" s="17">
        <v>18</v>
      </c>
      <c r="H101" s="22">
        <v>7.4160000000000004</v>
      </c>
      <c r="I101" s="23">
        <v>6.19</v>
      </c>
      <c r="J101" s="17">
        <v>33.200000000000003</v>
      </c>
    </row>
    <row r="102" spans="1:10">
      <c r="A102" s="24">
        <v>6.3</v>
      </c>
      <c r="B102" s="19">
        <v>0.79900000000000004</v>
      </c>
      <c r="C102" s="20">
        <v>8.56</v>
      </c>
      <c r="D102" s="17">
        <v>0.52</v>
      </c>
      <c r="E102" s="17">
        <v>5</v>
      </c>
      <c r="F102" s="21">
        <v>384</v>
      </c>
      <c r="G102" s="17">
        <v>20.9</v>
      </c>
      <c r="H102" s="22">
        <v>6.7270000000000003</v>
      </c>
      <c r="I102" s="23">
        <v>9.42</v>
      </c>
      <c r="J102" s="17">
        <v>27.5</v>
      </c>
    </row>
    <row r="103" spans="1:10">
      <c r="A103" s="24">
        <v>7.71</v>
      </c>
      <c r="B103" s="19">
        <v>0.71299999999999997</v>
      </c>
      <c r="C103" s="20">
        <v>8.56</v>
      </c>
      <c r="D103" s="17">
        <v>0.52</v>
      </c>
      <c r="E103" s="17">
        <v>5</v>
      </c>
      <c r="F103" s="21">
        <v>384</v>
      </c>
      <c r="G103" s="17">
        <v>20.9</v>
      </c>
      <c r="H103" s="22">
        <v>6.7809999999999997</v>
      </c>
      <c r="I103" s="23">
        <v>7.67</v>
      </c>
      <c r="J103" s="17">
        <v>26.5</v>
      </c>
    </row>
    <row r="104" spans="1:10">
      <c r="A104" s="24">
        <v>8.93</v>
      </c>
      <c r="B104" s="19">
        <v>0.85400000000000009</v>
      </c>
      <c r="C104" s="20">
        <v>8.56</v>
      </c>
      <c r="D104" s="17">
        <v>0.52</v>
      </c>
      <c r="E104" s="17">
        <v>5</v>
      </c>
      <c r="F104" s="21">
        <v>384</v>
      </c>
      <c r="G104" s="17">
        <v>20.9</v>
      </c>
      <c r="H104" s="22">
        <v>6.4050000000000002</v>
      </c>
      <c r="I104" s="23">
        <v>10.63</v>
      </c>
      <c r="J104" s="17">
        <v>18.600000000000001</v>
      </c>
    </row>
    <row r="105" spans="1:10">
      <c r="A105" s="24">
        <v>9.7100000000000009</v>
      </c>
      <c r="B105" s="19">
        <v>0.87400000000000011</v>
      </c>
      <c r="C105" s="20">
        <v>8.56</v>
      </c>
      <c r="D105" s="17">
        <v>0.52</v>
      </c>
      <c r="E105" s="17">
        <v>5</v>
      </c>
      <c r="F105" s="21">
        <v>384</v>
      </c>
      <c r="G105" s="17">
        <v>20.9</v>
      </c>
      <c r="H105" s="22">
        <v>6.1369999999999996</v>
      </c>
      <c r="I105" s="23">
        <v>13.44</v>
      </c>
      <c r="J105" s="17">
        <v>19.3</v>
      </c>
    </row>
    <row r="106" spans="1:10">
      <c r="A106" s="24">
        <v>8.9</v>
      </c>
      <c r="B106" s="19">
        <v>0.9</v>
      </c>
      <c r="C106" s="20">
        <v>8.56</v>
      </c>
      <c r="D106" s="17">
        <v>0.52</v>
      </c>
      <c r="E106" s="17">
        <v>5</v>
      </c>
      <c r="F106" s="21">
        <v>384</v>
      </c>
      <c r="G106" s="17">
        <v>20.9</v>
      </c>
      <c r="H106" s="22">
        <v>6.1669999999999998</v>
      </c>
      <c r="I106" s="23">
        <v>12.33</v>
      </c>
      <c r="J106" s="17">
        <v>20.100000000000001</v>
      </c>
    </row>
    <row r="107" spans="1:10">
      <c r="A107" s="24">
        <v>3.77</v>
      </c>
      <c r="B107" s="19">
        <v>0.96700000000000008</v>
      </c>
      <c r="C107" s="20">
        <v>8.56</v>
      </c>
      <c r="D107" s="17">
        <v>0.52</v>
      </c>
      <c r="E107" s="17">
        <v>5</v>
      </c>
      <c r="F107" s="21">
        <v>384</v>
      </c>
      <c r="G107" s="17">
        <v>20.9</v>
      </c>
      <c r="H107" s="22">
        <v>5.851</v>
      </c>
      <c r="I107" s="23">
        <v>16.47</v>
      </c>
      <c r="J107" s="17">
        <v>19.5</v>
      </c>
    </row>
    <row r="108" spans="1:10">
      <c r="A108" s="24">
        <v>3.63</v>
      </c>
      <c r="B108" s="19">
        <v>0.91900000000000004</v>
      </c>
      <c r="C108" s="20">
        <v>8.56</v>
      </c>
      <c r="D108" s="17">
        <v>0.52</v>
      </c>
      <c r="E108" s="17">
        <v>5</v>
      </c>
      <c r="F108" s="21">
        <v>384</v>
      </c>
      <c r="G108" s="17">
        <v>20.9</v>
      </c>
      <c r="H108" s="22">
        <v>5.8360000000000003</v>
      </c>
      <c r="I108" s="23">
        <v>18.66</v>
      </c>
      <c r="J108" s="17">
        <v>19.5</v>
      </c>
    </row>
    <row r="109" spans="1:10">
      <c r="A109" s="24">
        <v>0.14000000000000001</v>
      </c>
      <c r="B109" s="19">
        <v>0.85200000000000009</v>
      </c>
      <c r="C109" s="20">
        <v>8.56</v>
      </c>
      <c r="D109" s="17">
        <v>0.52</v>
      </c>
      <c r="E109" s="17">
        <v>5</v>
      </c>
      <c r="F109" s="21">
        <v>384</v>
      </c>
      <c r="G109" s="17">
        <v>20.9</v>
      </c>
      <c r="H109" s="22">
        <v>6.1269999999999998</v>
      </c>
      <c r="I109" s="23">
        <v>14.09</v>
      </c>
      <c r="J109" s="17">
        <v>20.399999999999999</v>
      </c>
    </row>
    <row r="110" spans="1:10">
      <c r="A110" s="24">
        <v>6.65</v>
      </c>
      <c r="B110" s="19">
        <v>0.97099999999999997</v>
      </c>
      <c r="C110" s="20">
        <v>8.56</v>
      </c>
      <c r="D110" s="17">
        <v>0.52</v>
      </c>
      <c r="E110" s="17">
        <v>5</v>
      </c>
      <c r="F110" s="21">
        <v>384</v>
      </c>
      <c r="G110" s="17">
        <v>20.9</v>
      </c>
      <c r="H110" s="22">
        <v>6.4740000000000002</v>
      </c>
      <c r="I110" s="23">
        <v>12.27</v>
      </c>
      <c r="J110" s="17">
        <v>19.8</v>
      </c>
    </row>
    <row r="111" spans="1:10">
      <c r="A111" s="24">
        <v>3.29</v>
      </c>
      <c r="B111" s="19">
        <v>0.91200000000000003</v>
      </c>
      <c r="C111" s="20">
        <v>8.56</v>
      </c>
      <c r="D111" s="17">
        <v>0.52</v>
      </c>
      <c r="E111" s="17">
        <v>5</v>
      </c>
      <c r="F111" s="21">
        <v>384</v>
      </c>
      <c r="G111" s="17">
        <v>20.9</v>
      </c>
      <c r="H111" s="22">
        <v>6.2290000000000001</v>
      </c>
      <c r="I111" s="23">
        <v>15.55</v>
      </c>
      <c r="J111" s="17">
        <v>19.399999999999999</v>
      </c>
    </row>
    <row r="112" spans="1:10">
      <c r="A112" s="24">
        <v>5.25</v>
      </c>
      <c r="B112" s="19">
        <v>0.54400000000000004</v>
      </c>
      <c r="C112" s="20">
        <v>8.56</v>
      </c>
      <c r="D112" s="17">
        <v>0.52</v>
      </c>
      <c r="E112" s="17">
        <v>5</v>
      </c>
      <c r="F112" s="21">
        <v>384</v>
      </c>
      <c r="G112" s="17">
        <v>20.9</v>
      </c>
      <c r="H112" s="22">
        <v>6.1950000000000003</v>
      </c>
      <c r="I112" s="23">
        <v>13</v>
      </c>
      <c r="J112" s="17">
        <v>21.7</v>
      </c>
    </row>
    <row r="113" spans="1:10">
      <c r="A113" s="24">
        <v>9.17</v>
      </c>
      <c r="B113" s="19">
        <v>0.81599999999999995</v>
      </c>
      <c r="C113" s="20">
        <v>10.01</v>
      </c>
      <c r="D113" s="17">
        <v>0.54700000000000004</v>
      </c>
      <c r="E113" s="17">
        <v>6</v>
      </c>
      <c r="F113" s="21">
        <v>432</v>
      </c>
      <c r="G113" s="17">
        <v>17.8</v>
      </c>
      <c r="H113" s="22">
        <v>6.7149999999999999</v>
      </c>
      <c r="I113" s="23">
        <v>10.16</v>
      </c>
      <c r="J113" s="17">
        <v>22.8</v>
      </c>
    </row>
    <row r="114" spans="1:10">
      <c r="A114" s="24">
        <v>8.48</v>
      </c>
      <c r="B114" s="19">
        <v>0.92900000000000005</v>
      </c>
      <c r="C114" s="20">
        <v>10.01</v>
      </c>
      <c r="D114" s="17">
        <v>0.54700000000000004</v>
      </c>
      <c r="E114" s="17">
        <v>6</v>
      </c>
      <c r="F114" s="21">
        <v>432</v>
      </c>
      <c r="G114" s="17">
        <v>17.8</v>
      </c>
      <c r="H114" s="22">
        <v>5.9130000000000003</v>
      </c>
      <c r="I114" s="23">
        <v>16.21</v>
      </c>
      <c r="J114" s="17">
        <v>18.8</v>
      </c>
    </row>
    <row r="115" spans="1:10">
      <c r="A115" s="24">
        <v>9.08</v>
      </c>
      <c r="B115" s="19">
        <v>0.95400000000000007</v>
      </c>
      <c r="C115" s="20">
        <v>10.01</v>
      </c>
      <c r="D115" s="17">
        <v>0.54700000000000004</v>
      </c>
      <c r="E115" s="17">
        <v>6</v>
      </c>
      <c r="F115" s="21">
        <v>432</v>
      </c>
      <c r="G115" s="17">
        <v>17.8</v>
      </c>
      <c r="H115" s="22">
        <v>6.0919999999999996</v>
      </c>
      <c r="I115" s="23">
        <v>17.09</v>
      </c>
      <c r="J115" s="17">
        <v>18.7</v>
      </c>
    </row>
    <row r="116" spans="1:10">
      <c r="A116" s="24">
        <v>2.0099999999999998</v>
      </c>
      <c r="B116" s="19">
        <v>0.84200000000000008</v>
      </c>
      <c r="C116" s="20">
        <v>10.01</v>
      </c>
      <c r="D116" s="17">
        <v>0.54700000000000004</v>
      </c>
      <c r="E116" s="17">
        <v>6</v>
      </c>
      <c r="F116" s="21">
        <v>432</v>
      </c>
      <c r="G116" s="17">
        <v>17.8</v>
      </c>
      <c r="H116" s="22">
        <v>6.2539999999999996</v>
      </c>
      <c r="I116" s="23">
        <v>10.45</v>
      </c>
      <c r="J116" s="17">
        <v>18.5</v>
      </c>
    </row>
    <row r="117" spans="1:10">
      <c r="A117" s="24">
        <v>4.57</v>
      </c>
      <c r="B117" s="19">
        <v>0.88200000000000001</v>
      </c>
      <c r="C117" s="20">
        <v>10.01</v>
      </c>
      <c r="D117" s="17">
        <v>0.54700000000000004</v>
      </c>
      <c r="E117" s="17">
        <v>6</v>
      </c>
      <c r="F117" s="21">
        <v>432</v>
      </c>
      <c r="G117" s="17">
        <v>17.8</v>
      </c>
      <c r="H117" s="22">
        <v>5.9279999999999999</v>
      </c>
      <c r="I117" s="23">
        <v>15.76</v>
      </c>
      <c r="J117" s="17">
        <v>18.3</v>
      </c>
    </row>
    <row r="118" spans="1:10">
      <c r="A118" s="24">
        <v>3.48</v>
      </c>
      <c r="B118" s="19">
        <v>0.72499999999999998</v>
      </c>
      <c r="C118" s="20">
        <v>10.01</v>
      </c>
      <c r="D118" s="17">
        <v>0.54700000000000004</v>
      </c>
      <c r="E118" s="17">
        <v>6</v>
      </c>
      <c r="F118" s="21">
        <v>432</v>
      </c>
      <c r="G118" s="17">
        <v>17.8</v>
      </c>
      <c r="H118" s="22">
        <v>6.1760000000000002</v>
      </c>
      <c r="I118" s="23">
        <v>12.04</v>
      </c>
      <c r="J118" s="17">
        <v>21.2</v>
      </c>
    </row>
    <row r="119" spans="1:10">
      <c r="A119" s="24">
        <v>2.21</v>
      </c>
      <c r="B119" s="19">
        <v>0.82599999999999996</v>
      </c>
      <c r="C119" s="20">
        <v>10.01</v>
      </c>
      <c r="D119" s="17">
        <v>0.54700000000000004</v>
      </c>
      <c r="E119" s="17">
        <v>6</v>
      </c>
      <c r="F119" s="21">
        <v>432</v>
      </c>
      <c r="G119" s="17">
        <v>17.8</v>
      </c>
      <c r="H119" s="22">
        <v>6.0209999999999999</v>
      </c>
      <c r="I119" s="23">
        <v>10.3</v>
      </c>
      <c r="J119" s="17">
        <v>19.2</v>
      </c>
    </row>
    <row r="120" spans="1:10">
      <c r="A120" s="24">
        <v>7.21</v>
      </c>
      <c r="B120" s="19">
        <v>0.73099999999999998</v>
      </c>
      <c r="C120" s="20">
        <v>10.01</v>
      </c>
      <c r="D120" s="17">
        <v>0.54700000000000004</v>
      </c>
      <c r="E120" s="17">
        <v>6</v>
      </c>
      <c r="F120" s="21">
        <v>432</v>
      </c>
      <c r="G120" s="17">
        <v>17.8</v>
      </c>
      <c r="H120" s="22">
        <v>5.8719999999999999</v>
      </c>
      <c r="I120" s="23">
        <v>15.37</v>
      </c>
      <c r="J120" s="17">
        <v>20.399999999999999</v>
      </c>
    </row>
    <row r="121" spans="1:10">
      <c r="A121" s="24">
        <v>2.52</v>
      </c>
      <c r="B121" s="19">
        <v>0.65200000000000002</v>
      </c>
      <c r="C121" s="20">
        <v>10.01</v>
      </c>
      <c r="D121" s="17">
        <v>0.54700000000000004</v>
      </c>
      <c r="E121" s="17">
        <v>6</v>
      </c>
      <c r="F121" s="21">
        <v>432</v>
      </c>
      <c r="G121" s="17">
        <v>17.8</v>
      </c>
      <c r="H121" s="22">
        <v>5.7309999999999999</v>
      </c>
      <c r="I121" s="23">
        <v>13.61</v>
      </c>
      <c r="J121" s="17">
        <v>19.3</v>
      </c>
    </row>
    <row r="122" spans="1:10">
      <c r="A122" s="24">
        <v>1.42</v>
      </c>
      <c r="B122" s="19">
        <v>0.69700000000000006</v>
      </c>
      <c r="C122" s="20">
        <v>25.65</v>
      </c>
      <c r="D122" s="17">
        <v>0.58099999999999996</v>
      </c>
      <c r="E122" s="17">
        <v>2</v>
      </c>
      <c r="F122" s="21">
        <v>188</v>
      </c>
      <c r="G122" s="17">
        <v>19.100000000000001</v>
      </c>
      <c r="H122" s="22">
        <v>5.87</v>
      </c>
      <c r="I122" s="23">
        <v>14.37</v>
      </c>
      <c r="J122" s="17">
        <v>22</v>
      </c>
    </row>
    <row r="123" spans="1:10">
      <c r="A123" s="24">
        <v>8.1</v>
      </c>
      <c r="B123" s="19">
        <v>0.84099999999999997</v>
      </c>
      <c r="C123" s="20">
        <v>25.65</v>
      </c>
      <c r="D123" s="17">
        <v>0.58099999999999996</v>
      </c>
      <c r="E123" s="17">
        <v>2</v>
      </c>
      <c r="F123" s="21">
        <v>188</v>
      </c>
      <c r="G123" s="17">
        <v>19.100000000000001</v>
      </c>
      <c r="H123" s="22">
        <v>6.0039999999999996</v>
      </c>
      <c r="I123" s="23">
        <v>14.27</v>
      </c>
      <c r="J123" s="17">
        <v>20.3</v>
      </c>
    </row>
    <row r="124" spans="1:10">
      <c r="A124" s="24">
        <v>8.09</v>
      </c>
      <c r="B124" s="19">
        <v>0.92900000000000005</v>
      </c>
      <c r="C124" s="20">
        <v>25.65</v>
      </c>
      <c r="D124" s="17">
        <v>0.58099999999999996</v>
      </c>
      <c r="E124" s="17">
        <v>2</v>
      </c>
      <c r="F124" s="21">
        <v>188</v>
      </c>
      <c r="G124" s="17">
        <v>19.100000000000001</v>
      </c>
      <c r="H124" s="22">
        <v>5.9610000000000003</v>
      </c>
      <c r="I124" s="23">
        <v>17.93</v>
      </c>
      <c r="J124" s="17">
        <v>20.5</v>
      </c>
    </row>
    <row r="125" spans="1:10">
      <c r="A125" s="24">
        <v>0.6</v>
      </c>
      <c r="B125" s="19">
        <v>0.97</v>
      </c>
      <c r="C125" s="20">
        <v>25.65</v>
      </c>
      <c r="D125" s="17">
        <v>0.58099999999999996</v>
      </c>
      <c r="E125" s="17">
        <v>2</v>
      </c>
      <c r="F125" s="21">
        <v>188</v>
      </c>
      <c r="G125" s="17">
        <v>19.100000000000001</v>
      </c>
      <c r="H125" s="22">
        <v>5.8559999999999999</v>
      </c>
      <c r="I125" s="23">
        <v>25.41</v>
      </c>
      <c r="J125" s="17">
        <v>17.3</v>
      </c>
    </row>
    <row r="126" spans="1:10">
      <c r="A126" s="24">
        <v>2.88</v>
      </c>
      <c r="B126" s="19">
        <v>0.95799999999999996</v>
      </c>
      <c r="C126" s="20">
        <v>25.65</v>
      </c>
      <c r="D126" s="17">
        <v>0.58099999999999996</v>
      </c>
      <c r="E126" s="17">
        <v>2</v>
      </c>
      <c r="F126" s="21">
        <v>188</v>
      </c>
      <c r="G126" s="17">
        <v>19.100000000000001</v>
      </c>
      <c r="H126" s="22">
        <v>5.8789999999999996</v>
      </c>
      <c r="I126" s="23">
        <v>17.579999999999998</v>
      </c>
      <c r="J126" s="17">
        <v>18.8</v>
      </c>
    </row>
    <row r="127" spans="1:10">
      <c r="A127" s="24">
        <v>7.01</v>
      </c>
      <c r="B127" s="19">
        <v>0.88400000000000012</v>
      </c>
      <c r="C127" s="20">
        <v>25.65</v>
      </c>
      <c r="D127" s="17">
        <v>0.58099999999999996</v>
      </c>
      <c r="E127" s="17">
        <v>2</v>
      </c>
      <c r="F127" s="21">
        <v>188</v>
      </c>
      <c r="G127" s="17">
        <v>19.100000000000001</v>
      </c>
      <c r="H127" s="22">
        <v>5.9859999999999998</v>
      </c>
      <c r="I127" s="23">
        <v>14.81</v>
      </c>
      <c r="J127" s="17">
        <v>21.4</v>
      </c>
    </row>
    <row r="128" spans="1:10">
      <c r="A128" s="24">
        <v>3.79</v>
      </c>
      <c r="B128" s="19">
        <v>0.95599999999999996</v>
      </c>
      <c r="C128" s="20">
        <v>25.65</v>
      </c>
      <c r="D128" s="17">
        <v>0.58099999999999996</v>
      </c>
      <c r="E128" s="17">
        <v>2</v>
      </c>
      <c r="F128" s="21">
        <v>188</v>
      </c>
      <c r="G128" s="17">
        <v>19.100000000000001</v>
      </c>
      <c r="H128" s="22">
        <v>5.6130000000000004</v>
      </c>
      <c r="I128" s="23">
        <v>27.26</v>
      </c>
      <c r="J128" s="17">
        <v>15.7</v>
      </c>
    </row>
    <row r="129" spans="1:10">
      <c r="A129" s="24">
        <v>7.15</v>
      </c>
      <c r="B129" s="19">
        <v>0.96</v>
      </c>
      <c r="C129" s="20">
        <v>21.89</v>
      </c>
      <c r="D129" s="17">
        <v>0.624</v>
      </c>
      <c r="E129" s="17">
        <v>4</v>
      </c>
      <c r="F129" s="21">
        <v>437</v>
      </c>
      <c r="G129" s="17">
        <v>21.2</v>
      </c>
      <c r="H129" s="22">
        <v>5.6929999999999996</v>
      </c>
      <c r="I129" s="23">
        <v>17.190000000000001</v>
      </c>
      <c r="J129" s="17">
        <v>16.2</v>
      </c>
    </row>
    <row r="130" spans="1:10">
      <c r="A130" s="24">
        <v>3.79</v>
      </c>
      <c r="B130" s="19">
        <v>0.98799999999999999</v>
      </c>
      <c r="C130" s="20">
        <v>21.89</v>
      </c>
      <c r="D130" s="17">
        <v>0.624</v>
      </c>
      <c r="E130" s="17">
        <v>4</v>
      </c>
      <c r="F130" s="21">
        <v>437</v>
      </c>
      <c r="G130" s="17">
        <v>21.2</v>
      </c>
      <c r="H130" s="22">
        <v>6.431</v>
      </c>
      <c r="I130" s="23">
        <v>15.39</v>
      </c>
      <c r="J130" s="17">
        <v>18</v>
      </c>
    </row>
    <row r="131" spans="1:10">
      <c r="A131" s="24">
        <v>2.65</v>
      </c>
      <c r="B131" s="19">
        <v>0.94700000000000006</v>
      </c>
      <c r="C131" s="20">
        <v>21.89</v>
      </c>
      <c r="D131" s="17">
        <v>0.624</v>
      </c>
      <c r="E131" s="17">
        <v>4</v>
      </c>
      <c r="F131" s="21">
        <v>437</v>
      </c>
      <c r="G131" s="17">
        <v>21.2</v>
      </c>
      <c r="H131" s="22">
        <v>5.6369999999999996</v>
      </c>
      <c r="I131" s="23">
        <v>18.34</v>
      </c>
      <c r="J131" s="17">
        <v>14.3</v>
      </c>
    </row>
    <row r="132" spans="1:10">
      <c r="A132" s="24">
        <v>6.03</v>
      </c>
      <c r="B132" s="19">
        <v>0.9890000000000001</v>
      </c>
      <c r="C132" s="20">
        <v>21.89</v>
      </c>
      <c r="D132" s="17">
        <v>0.624</v>
      </c>
      <c r="E132" s="17">
        <v>4</v>
      </c>
      <c r="F132" s="21">
        <v>437</v>
      </c>
      <c r="G132" s="17">
        <v>21.2</v>
      </c>
      <c r="H132" s="22">
        <v>6.4580000000000002</v>
      </c>
      <c r="I132" s="23">
        <v>12.6</v>
      </c>
      <c r="J132" s="17">
        <v>19.2</v>
      </c>
    </row>
    <row r="133" spans="1:10">
      <c r="A133" s="24">
        <v>4.3899999999999997</v>
      </c>
      <c r="B133" s="19">
        <v>0.97700000000000009</v>
      </c>
      <c r="C133" s="20">
        <v>21.89</v>
      </c>
      <c r="D133" s="17">
        <v>0.624</v>
      </c>
      <c r="E133" s="17">
        <v>4</v>
      </c>
      <c r="F133" s="21">
        <v>437</v>
      </c>
      <c r="G133" s="17">
        <v>21.2</v>
      </c>
      <c r="H133" s="22">
        <v>6.3259999999999996</v>
      </c>
      <c r="I133" s="23">
        <v>12.26</v>
      </c>
      <c r="J133" s="17">
        <v>19.600000000000001</v>
      </c>
    </row>
    <row r="134" spans="1:10">
      <c r="A134" s="24">
        <v>8.58</v>
      </c>
      <c r="B134" s="19">
        <v>0.97900000000000009</v>
      </c>
      <c r="C134" s="20">
        <v>21.89</v>
      </c>
      <c r="D134" s="17">
        <v>0.624</v>
      </c>
      <c r="E134" s="17">
        <v>4</v>
      </c>
      <c r="F134" s="21">
        <v>437</v>
      </c>
      <c r="G134" s="17">
        <v>21.2</v>
      </c>
      <c r="H134" s="22">
        <v>6.3719999999999999</v>
      </c>
      <c r="I134" s="23">
        <v>11.12</v>
      </c>
      <c r="J134" s="17">
        <v>23</v>
      </c>
    </row>
    <row r="135" spans="1:10">
      <c r="A135" s="24">
        <v>0.4</v>
      </c>
      <c r="B135" s="19">
        <v>0.95400000000000007</v>
      </c>
      <c r="C135" s="20">
        <v>21.89</v>
      </c>
      <c r="D135" s="17">
        <v>0.624</v>
      </c>
      <c r="E135" s="17">
        <v>4</v>
      </c>
      <c r="F135" s="21">
        <v>437</v>
      </c>
      <c r="G135" s="17">
        <v>21.2</v>
      </c>
      <c r="H135" s="22">
        <v>5.8220000000000001</v>
      </c>
      <c r="I135" s="23">
        <v>15.03</v>
      </c>
      <c r="J135" s="17">
        <v>18.399999999999999</v>
      </c>
    </row>
    <row r="136" spans="1:10">
      <c r="A136" s="24">
        <v>5.48</v>
      </c>
      <c r="B136" s="19">
        <v>0.9840000000000001</v>
      </c>
      <c r="C136" s="20">
        <v>21.89</v>
      </c>
      <c r="D136" s="17">
        <v>0.624</v>
      </c>
      <c r="E136" s="17">
        <v>4</v>
      </c>
      <c r="F136" s="21">
        <v>437</v>
      </c>
      <c r="G136" s="17">
        <v>21.2</v>
      </c>
      <c r="H136" s="22">
        <v>5.7569999999999997</v>
      </c>
      <c r="I136" s="23">
        <v>17.309999999999999</v>
      </c>
      <c r="J136" s="17">
        <v>15.6</v>
      </c>
    </row>
    <row r="137" spans="1:10">
      <c r="A137" s="24">
        <v>0.66</v>
      </c>
      <c r="B137" s="19">
        <v>0.9820000000000001</v>
      </c>
      <c r="C137" s="20">
        <v>21.89</v>
      </c>
      <c r="D137" s="17">
        <v>0.624</v>
      </c>
      <c r="E137" s="17">
        <v>4</v>
      </c>
      <c r="F137" s="21">
        <v>437</v>
      </c>
      <c r="G137" s="17">
        <v>21.2</v>
      </c>
      <c r="H137" s="22">
        <v>6.335</v>
      </c>
      <c r="I137" s="23">
        <v>16.96</v>
      </c>
      <c r="J137" s="17">
        <v>18.100000000000001</v>
      </c>
    </row>
    <row r="138" spans="1:10">
      <c r="A138" s="24">
        <v>9.8699999999999992</v>
      </c>
      <c r="B138" s="19">
        <v>0.93500000000000005</v>
      </c>
      <c r="C138" s="20">
        <v>21.89</v>
      </c>
      <c r="D138" s="17">
        <v>0.624</v>
      </c>
      <c r="E138" s="17">
        <v>4</v>
      </c>
      <c r="F138" s="21">
        <v>437</v>
      </c>
      <c r="G138" s="17">
        <v>21.2</v>
      </c>
      <c r="H138" s="22">
        <v>5.9420000000000002</v>
      </c>
      <c r="I138" s="23">
        <v>16.899999999999999</v>
      </c>
      <c r="J138" s="17">
        <v>17.399999999999999</v>
      </c>
    </row>
    <row r="139" spans="1:10">
      <c r="A139" s="24">
        <v>5.05</v>
      </c>
      <c r="B139" s="19">
        <v>0.9840000000000001</v>
      </c>
      <c r="C139" s="20">
        <v>21.89</v>
      </c>
      <c r="D139" s="17">
        <v>0.624</v>
      </c>
      <c r="E139" s="17">
        <v>4</v>
      </c>
      <c r="F139" s="21">
        <v>437</v>
      </c>
      <c r="G139" s="17">
        <v>21.2</v>
      </c>
      <c r="H139" s="22">
        <v>6.4539999999999997</v>
      </c>
      <c r="I139" s="23">
        <v>14.59</v>
      </c>
      <c r="J139" s="17">
        <v>17.100000000000001</v>
      </c>
    </row>
    <row r="140" spans="1:10">
      <c r="A140" s="24">
        <v>0.91</v>
      </c>
      <c r="B140" s="19">
        <v>0.9820000000000001</v>
      </c>
      <c r="C140" s="20">
        <v>21.89</v>
      </c>
      <c r="D140" s="17">
        <v>0.624</v>
      </c>
      <c r="E140" s="17">
        <v>4</v>
      </c>
      <c r="F140" s="21">
        <v>437</v>
      </c>
      <c r="G140" s="17">
        <v>21.2</v>
      </c>
      <c r="H140" s="22">
        <v>5.8570000000000002</v>
      </c>
      <c r="I140" s="23">
        <v>21.32</v>
      </c>
      <c r="J140" s="17">
        <v>13.3</v>
      </c>
    </row>
    <row r="141" spans="1:10">
      <c r="A141" s="24">
        <v>2.92</v>
      </c>
      <c r="B141" s="19">
        <v>0.97900000000000009</v>
      </c>
      <c r="C141" s="20">
        <v>21.89</v>
      </c>
      <c r="D141" s="17">
        <v>0.624</v>
      </c>
      <c r="E141" s="17">
        <v>4</v>
      </c>
      <c r="F141" s="21">
        <v>437</v>
      </c>
      <c r="G141" s="17">
        <v>21.2</v>
      </c>
      <c r="H141" s="22">
        <v>6.1509999999999998</v>
      </c>
      <c r="I141" s="23">
        <v>18.46</v>
      </c>
      <c r="J141" s="17">
        <v>17.8</v>
      </c>
    </row>
    <row r="142" spans="1:10">
      <c r="A142" s="24">
        <v>8.82</v>
      </c>
      <c r="B142" s="19">
        <v>0.93599999999999994</v>
      </c>
      <c r="C142" s="20">
        <v>21.89</v>
      </c>
      <c r="D142" s="17">
        <v>0.624</v>
      </c>
      <c r="E142" s="17">
        <v>4</v>
      </c>
      <c r="F142" s="21">
        <v>437</v>
      </c>
      <c r="G142" s="17">
        <v>21.2</v>
      </c>
      <c r="H142" s="22">
        <v>6.1740000000000004</v>
      </c>
      <c r="I142" s="23">
        <v>24.16</v>
      </c>
      <c r="J142" s="17">
        <v>14</v>
      </c>
    </row>
    <row r="143" spans="1:10">
      <c r="A143" s="24">
        <v>3.92</v>
      </c>
      <c r="B143" s="19">
        <v>1</v>
      </c>
      <c r="C143" s="20">
        <v>21.89</v>
      </c>
      <c r="D143" s="17">
        <v>0.624</v>
      </c>
      <c r="E143" s="17">
        <v>4</v>
      </c>
      <c r="F143" s="21">
        <v>437</v>
      </c>
      <c r="G143" s="17">
        <v>21.2</v>
      </c>
      <c r="H143" s="22">
        <v>5.0190000000000001</v>
      </c>
      <c r="I143" s="23">
        <v>34.409999999999997</v>
      </c>
      <c r="J143" s="17">
        <v>14.4</v>
      </c>
    </row>
    <row r="144" spans="1:10">
      <c r="A144" s="24">
        <v>3.83</v>
      </c>
      <c r="B144" s="19">
        <v>1</v>
      </c>
      <c r="C144" s="20">
        <v>19.579999999999998</v>
      </c>
      <c r="D144" s="17">
        <v>0.871</v>
      </c>
      <c r="E144" s="17">
        <v>5</v>
      </c>
      <c r="F144" s="21">
        <v>403</v>
      </c>
      <c r="G144" s="17">
        <v>14.7</v>
      </c>
      <c r="H144" s="22">
        <v>5.4029999999999996</v>
      </c>
      <c r="I144" s="23">
        <v>26.82</v>
      </c>
      <c r="J144" s="17">
        <v>13.4</v>
      </c>
    </row>
    <row r="145" spans="1:10">
      <c r="A145" s="24">
        <v>0.68</v>
      </c>
      <c r="B145" s="19">
        <v>1</v>
      </c>
      <c r="C145" s="20">
        <v>19.579999999999998</v>
      </c>
      <c r="D145" s="17">
        <v>0.871</v>
      </c>
      <c r="E145" s="17">
        <v>5</v>
      </c>
      <c r="F145" s="21">
        <v>403</v>
      </c>
      <c r="G145" s="17">
        <v>14.7</v>
      </c>
      <c r="H145" s="22">
        <v>5.468</v>
      </c>
      <c r="I145" s="23">
        <v>26.42</v>
      </c>
      <c r="J145" s="17">
        <v>15.6</v>
      </c>
    </row>
    <row r="146" spans="1:10">
      <c r="A146" s="24">
        <v>1.25</v>
      </c>
      <c r="B146" s="19">
        <v>0.97799999999999998</v>
      </c>
      <c r="C146" s="20">
        <v>19.579999999999998</v>
      </c>
      <c r="D146" s="17">
        <v>0.871</v>
      </c>
      <c r="E146" s="17">
        <v>5</v>
      </c>
      <c r="F146" s="21">
        <v>403</v>
      </c>
      <c r="G146" s="17">
        <v>14.7</v>
      </c>
      <c r="H146" s="22">
        <v>4.9029999999999996</v>
      </c>
      <c r="I146" s="23">
        <v>29.29</v>
      </c>
      <c r="J146" s="17">
        <v>11.8</v>
      </c>
    </row>
    <row r="147" spans="1:10">
      <c r="A147" s="24">
        <v>2.88</v>
      </c>
      <c r="B147" s="19">
        <v>1</v>
      </c>
      <c r="C147" s="20">
        <v>19.579999999999998</v>
      </c>
      <c r="D147" s="17">
        <v>0.871</v>
      </c>
      <c r="E147" s="17">
        <v>5</v>
      </c>
      <c r="F147" s="21">
        <v>403</v>
      </c>
      <c r="G147" s="17">
        <v>14.7</v>
      </c>
      <c r="H147" s="22">
        <v>6.13</v>
      </c>
      <c r="I147" s="23">
        <v>27.8</v>
      </c>
      <c r="J147" s="17">
        <v>13.8</v>
      </c>
    </row>
    <row r="148" spans="1:10">
      <c r="A148" s="24">
        <v>9.89</v>
      </c>
      <c r="B148" s="19">
        <v>1</v>
      </c>
      <c r="C148" s="20">
        <v>19.579999999999998</v>
      </c>
      <c r="D148" s="17">
        <v>0.871</v>
      </c>
      <c r="E148" s="17">
        <v>5</v>
      </c>
      <c r="F148" s="21">
        <v>403</v>
      </c>
      <c r="G148" s="17">
        <v>14.7</v>
      </c>
      <c r="H148" s="22">
        <v>5.6280000000000001</v>
      </c>
      <c r="I148" s="23">
        <v>16.649999999999999</v>
      </c>
      <c r="J148" s="17">
        <v>15.6</v>
      </c>
    </row>
    <row r="149" spans="1:10">
      <c r="A149" s="24">
        <v>8.5399999999999991</v>
      </c>
      <c r="B149" s="19">
        <v>0.95700000000000007</v>
      </c>
      <c r="C149" s="20">
        <v>19.579999999999998</v>
      </c>
      <c r="D149" s="17">
        <v>0.871</v>
      </c>
      <c r="E149" s="17">
        <v>5</v>
      </c>
      <c r="F149" s="21">
        <v>403</v>
      </c>
      <c r="G149" s="17">
        <v>14.7</v>
      </c>
      <c r="H149" s="22">
        <v>4.9260000000000002</v>
      </c>
      <c r="I149" s="23">
        <v>29.53</v>
      </c>
      <c r="J149" s="17">
        <v>14.6</v>
      </c>
    </row>
    <row r="150" spans="1:10">
      <c r="A150" s="24">
        <v>4.75</v>
      </c>
      <c r="B150" s="19">
        <v>0.93799999999999994</v>
      </c>
      <c r="C150" s="20">
        <v>19.579999999999998</v>
      </c>
      <c r="D150" s="17">
        <v>0.871</v>
      </c>
      <c r="E150" s="17">
        <v>5</v>
      </c>
      <c r="F150" s="21">
        <v>403</v>
      </c>
      <c r="G150" s="17">
        <v>14.7</v>
      </c>
      <c r="H150" s="22">
        <v>5.1859999999999999</v>
      </c>
      <c r="I150" s="23">
        <v>28.32</v>
      </c>
      <c r="J150" s="17">
        <v>17.8</v>
      </c>
    </row>
    <row r="151" spans="1:10">
      <c r="A151" s="24">
        <v>3.07</v>
      </c>
      <c r="B151" s="19">
        <v>0.94900000000000007</v>
      </c>
      <c r="C151" s="20">
        <v>19.579999999999998</v>
      </c>
      <c r="D151" s="17">
        <v>0.871</v>
      </c>
      <c r="E151" s="17">
        <v>5</v>
      </c>
      <c r="F151" s="21">
        <v>403</v>
      </c>
      <c r="G151" s="17">
        <v>14.7</v>
      </c>
      <c r="H151" s="22">
        <v>5.5970000000000004</v>
      </c>
      <c r="I151" s="23">
        <v>21.45</v>
      </c>
      <c r="J151" s="17">
        <v>15.4</v>
      </c>
    </row>
    <row r="152" spans="1:10">
      <c r="A152" s="24">
        <v>9.17</v>
      </c>
      <c r="B152" s="19">
        <v>0.97299999999999998</v>
      </c>
      <c r="C152" s="20">
        <v>19.579999999999998</v>
      </c>
      <c r="D152" s="17">
        <v>0.871</v>
      </c>
      <c r="E152" s="17">
        <v>5</v>
      </c>
      <c r="F152" s="21">
        <v>403</v>
      </c>
      <c r="G152" s="17">
        <v>14.7</v>
      </c>
      <c r="H152" s="22">
        <v>6.1219999999999999</v>
      </c>
      <c r="I152" s="23">
        <v>14.1</v>
      </c>
      <c r="J152" s="17">
        <v>21.5</v>
      </c>
    </row>
    <row r="153" spans="1:10">
      <c r="A153" s="24">
        <v>9.33</v>
      </c>
      <c r="B153" s="19">
        <v>1</v>
      </c>
      <c r="C153" s="20">
        <v>19.579999999999998</v>
      </c>
      <c r="D153" s="17">
        <v>0.871</v>
      </c>
      <c r="E153" s="17">
        <v>5</v>
      </c>
      <c r="F153" s="21">
        <v>403</v>
      </c>
      <c r="G153" s="17">
        <v>14.7</v>
      </c>
      <c r="H153" s="22">
        <v>5.4039999999999999</v>
      </c>
      <c r="I153" s="23">
        <v>13.28</v>
      </c>
      <c r="J153" s="17">
        <v>19.600000000000001</v>
      </c>
    </row>
    <row r="154" spans="1:10">
      <c r="A154" s="24">
        <v>3.51</v>
      </c>
      <c r="B154" s="19">
        <v>0.88</v>
      </c>
      <c r="C154" s="20">
        <v>19.579999999999998</v>
      </c>
      <c r="D154" s="17">
        <v>0.871</v>
      </c>
      <c r="E154" s="17">
        <v>5</v>
      </c>
      <c r="F154" s="21">
        <v>403</v>
      </c>
      <c r="G154" s="17">
        <v>14.7</v>
      </c>
      <c r="H154" s="22">
        <v>5.0119999999999996</v>
      </c>
      <c r="I154" s="23">
        <v>12.12</v>
      </c>
      <c r="J154" s="17">
        <v>15.3</v>
      </c>
    </row>
    <row r="155" spans="1:10">
      <c r="A155" s="24">
        <v>9.81</v>
      </c>
      <c r="B155" s="19">
        <v>0.98499999999999999</v>
      </c>
      <c r="C155" s="20">
        <v>19.579999999999998</v>
      </c>
      <c r="D155" s="17">
        <v>0.871</v>
      </c>
      <c r="E155" s="17">
        <v>5</v>
      </c>
      <c r="F155" s="21">
        <v>403</v>
      </c>
      <c r="G155" s="17">
        <v>14.7</v>
      </c>
      <c r="H155" s="22">
        <v>5.7089999999999996</v>
      </c>
      <c r="I155" s="23">
        <v>15.79</v>
      </c>
      <c r="J155" s="17">
        <v>19.399999999999999</v>
      </c>
    </row>
    <row r="156" spans="1:10">
      <c r="A156" s="24">
        <v>1.24</v>
      </c>
      <c r="B156" s="19">
        <v>0.96</v>
      </c>
      <c r="C156" s="20">
        <v>19.579999999999998</v>
      </c>
      <c r="D156" s="17">
        <v>0.871</v>
      </c>
      <c r="E156" s="17">
        <v>5</v>
      </c>
      <c r="F156" s="21">
        <v>403</v>
      </c>
      <c r="G156" s="17">
        <v>14.7</v>
      </c>
      <c r="H156" s="22">
        <v>6.1289999999999996</v>
      </c>
      <c r="I156" s="23">
        <v>15.12</v>
      </c>
      <c r="J156" s="17">
        <v>17</v>
      </c>
    </row>
    <row r="157" spans="1:10">
      <c r="A157" s="24">
        <v>0.76</v>
      </c>
      <c r="B157" s="19">
        <v>0.82599999999999996</v>
      </c>
      <c r="C157" s="20">
        <v>19.579999999999998</v>
      </c>
      <c r="D157" s="17">
        <v>0.871</v>
      </c>
      <c r="E157" s="17">
        <v>5</v>
      </c>
      <c r="F157" s="21">
        <v>403</v>
      </c>
      <c r="G157" s="17">
        <v>14.7</v>
      </c>
      <c r="H157" s="22">
        <v>6.1520000000000001</v>
      </c>
      <c r="I157" s="23">
        <v>15.02</v>
      </c>
      <c r="J157" s="17">
        <v>15.6</v>
      </c>
    </row>
    <row r="158" spans="1:10">
      <c r="A158" s="24">
        <v>9.09</v>
      </c>
      <c r="B158" s="19">
        <v>0.94000000000000006</v>
      </c>
      <c r="C158" s="20">
        <v>19.579999999999998</v>
      </c>
      <c r="D158" s="17">
        <v>0.871</v>
      </c>
      <c r="E158" s="17">
        <v>5</v>
      </c>
      <c r="F158" s="21">
        <v>403</v>
      </c>
      <c r="G158" s="17">
        <v>14.7</v>
      </c>
      <c r="H158" s="22">
        <v>5.2720000000000002</v>
      </c>
      <c r="I158" s="23">
        <v>16.14</v>
      </c>
      <c r="J158" s="17">
        <v>13.1</v>
      </c>
    </row>
    <row r="159" spans="1:10">
      <c r="A159" s="24">
        <v>7.86</v>
      </c>
      <c r="B159" s="19">
        <v>0.97400000000000009</v>
      </c>
      <c r="C159" s="20">
        <v>19.579999999999998</v>
      </c>
      <c r="D159" s="17">
        <v>0.60499999999999998</v>
      </c>
      <c r="E159" s="17">
        <v>5</v>
      </c>
      <c r="F159" s="21">
        <v>403</v>
      </c>
      <c r="G159" s="17">
        <v>14.7</v>
      </c>
      <c r="H159" s="22">
        <v>6.9429999999999996</v>
      </c>
      <c r="I159" s="23">
        <v>4.59</v>
      </c>
      <c r="J159" s="17">
        <v>41.3</v>
      </c>
    </row>
    <row r="160" spans="1:10">
      <c r="A160" s="24">
        <v>4.6900000000000004</v>
      </c>
      <c r="B160" s="19">
        <v>1</v>
      </c>
      <c r="C160" s="20">
        <v>19.579999999999998</v>
      </c>
      <c r="D160" s="17">
        <v>0.60499999999999998</v>
      </c>
      <c r="E160" s="17">
        <v>5</v>
      </c>
      <c r="F160" s="21">
        <v>403</v>
      </c>
      <c r="G160" s="17">
        <v>14.7</v>
      </c>
      <c r="H160" s="22">
        <v>6.0659999999999998</v>
      </c>
      <c r="I160" s="23">
        <v>6.43</v>
      </c>
      <c r="J160" s="17">
        <v>24.3</v>
      </c>
    </row>
    <row r="161" spans="1:10">
      <c r="A161" s="24">
        <v>4.8099999999999996</v>
      </c>
      <c r="B161" s="19">
        <v>1</v>
      </c>
      <c r="C161" s="20">
        <v>19.579999999999998</v>
      </c>
      <c r="D161" s="17">
        <v>0.871</v>
      </c>
      <c r="E161" s="17">
        <v>5</v>
      </c>
      <c r="F161" s="21">
        <v>403</v>
      </c>
      <c r="G161" s="17">
        <v>14.7</v>
      </c>
      <c r="H161" s="22">
        <v>6.51</v>
      </c>
      <c r="I161" s="23">
        <v>7.39</v>
      </c>
      <c r="J161" s="17">
        <v>23.3</v>
      </c>
    </row>
    <row r="162" spans="1:10">
      <c r="A162" s="24">
        <v>8.65</v>
      </c>
      <c r="B162" s="19">
        <v>0.92599999999999993</v>
      </c>
      <c r="C162" s="20">
        <v>19.579999999999998</v>
      </c>
      <c r="D162" s="17">
        <v>0.60499999999999998</v>
      </c>
      <c r="E162" s="17">
        <v>5</v>
      </c>
      <c r="F162" s="21">
        <v>403</v>
      </c>
      <c r="G162" s="17">
        <v>14.7</v>
      </c>
      <c r="H162" s="22">
        <v>6.25</v>
      </c>
      <c r="I162" s="23">
        <v>5.5</v>
      </c>
      <c r="J162" s="17">
        <v>27</v>
      </c>
    </row>
    <row r="163" spans="1:10">
      <c r="A163" s="24">
        <v>2.63</v>
      </c>
      <c r="B163" s="19">
        <v>0.90800000000000003</v>
      </c>
      <c r="C163" s="20">
        <v>19.579999999999998</v>
      </c>
      <c r="D163" s="17">
        <v>0.60499999999999998</v>
      </c>
      <c r="E163" s="17">
        <v>5</v>
      </c>
      <c r="F163" s="21">
        <v>403</v>
      </c>
      <c r="G163" s="17">
        <v>14.7</v>
      </c>
      <c r="H163" s="22">
        <v>7.4889999999999999</v>
      </c>
      <c r="I163" s="23">
        <v>1.73</v>
      </c>
      <c r="J163" s="17">
        <v>50</v>
      </c>
    </row>
    <row r="164" spans="1:10">
      <c r="A164" s="24">
        <v>8.39</v>
      </c>
      <c r="B164" s="19">
        <v>0.9820000000000001</v>
      </c>
      <c r="C164" s="20">
        <v>19.579999999999998</v>
      </c>
      <c r="D164" s="17">
        <v>0.60499999999999998</v>
      </c>
      <c r="E164" s="17">
        <v>5</v>
      </c>
      <c r="F164" s="21">
        <v>403</v>
      </c>
      <c r="G164" s="17">
        <v>14.7</v>
      </c>
      <c r="H164" s="22">
        <v>7.8019999999999996</v>
      </c>
      <c r="I164" s="23">
        <v>1.92</v>
      </c>
      <c r="J164" s="17">
        <v>50</v>
      </c>
    </row>
    <row r="165" spans="1:10">
      <c r="A165" s="24">
        <v>1.26</v>
      </c>
      <c r="B165" s="19">
        <v>0.93900000000000006</v>
      </c>
      <c r="C165" s="20">
        <v>19.579999999999998</v>
      </c>
      <c r="D165" s="17">
        <v>0.60499999999999998</v>
      </c>
      <c r="E165" s="17">
        <v>5</v>
      </c>
      <c r="F165" s="21">
        <v>403</v>
      </c>
      <c r="G165" s="17">
        <v>14.7</v>
      </c>
      <c r="H165" s="22">
        <v>8.375</v>
      </c>
      <c r="I165" s="23">
        <v>3.32</v>
      </c>
      <c r="J165" s="17">
        <v>50</v>
      </c>
    </row>
    <row r="166" spans="1:10">
      <c r="A166" s="24">
        <v>0.75</v>
      </c>
      <c r="B166" s="19">
        <v>0.91800000000000004</v>
      </c>
      <c r="C166" s="20">
        <v>19.579999999999998</v>
      </c>
      <c r="D166" s="17">
        <v>0.60499999999999998</v>
      </c>
      <c r="E166" s="17">
        <v>5</v>
      </c>
      <c r="F166" s="21">
        <v>403</v>
      </c>
      <c r="G166" s="17">
        <v>14.7</v>
      </c>
      <c r="H166" s="22">
        <v>5.8540000000000001</v>
      </c>
      <c r="I166" s="23">
        <v>11.64</v>
      </c>
      <c r="J166" s="17">
        <v>22.7</v>
      </c>
    </row>
    <row r="167" spans="1:10">
      <c r="A167" s="24">
        <v>6.11</v>
      </c>
      <c r="B167" s="19">
        <v>0.93</v>
      </c>
      <c r="C167" s="20">
        <v>19.579999999999998</v>
      </c>
      <c r="D167" s="17">
        <v>0.60499999999999998</v>
      </c>
      <c r="E167" s="17">
        <v>5</v>
      </c>
      <c r="F167" s="21">
        <v>403</v>
      </c>
      <c r="G167" s="17">
        <v>14.7</v>
      </c>
      <c r="H167" s="22">
        <v>6.101</v>
      </c>
      <c r="I167" s="23">
        <v>9.81</v>
      </c>
      <c r="J167" s="17">
        <v>25</v>
      </c>
    </row>
    <row r="168" spans="1:10">
      <c r="A168" s="24">
        <v>1.5</v>
      </c>
      <c r="B168" s="19">
        <v>0.96200000000000008</v>
      </c>
      <c r="C168" s="20">
        <v>19.579999999999998</v>
      </c>
      <c r="D168" s="17">
        <v>0.60499999999999998</v>
      </c>
      <c r="E168" s="17">
        <v>5</v>
      </c>
      <c r="F168" s="21">
        <v>403</v>
      </c>
      <c r="G168" s="17">
        <v>14.7</v>
      </c>
      <c r="H168" s="22">
        <v>7.9290000000000003</v>
      </c>
      <c r="I168" s="23">
        <v>3.7</v>
      </c>
      <c r="J168" s="17">
        <v>50</v>
      </c>
    </row>
    <row r="169" spans="1:10">
      <c r="A169" s="24">
        <v>1.33</v>
      </c>
      <c r="B169" s="19">
        <v>0.79200000000000004</v>
      </c>
      <c r="C169" s="20">
        <v>19.579999999999998</v>
      </c>
      <c r="D169" s="17">
        <v>0.60499999999999998</v>
      </c>
      <c r="E169" s="17">
        <v>5</v>
      </c>
      <c r="F169" s="21">
        <v>403</v>
      </c>
      <c r="G169" s="17">
        <v>14.7</v>
      </c>
      <c r="H169" s="22">
        <v>5.8769999999999998</v>
      </c>
      <c r="I169" s="23">
        <v>12.14</v>
      </c>
      <c r="J169" s="17">
        <v>23.8</v>
      </c>
    </row>
    <row r="170" spans="1:10">
      <c r="A170" s="24">
        <v>6.02</v>
      </c>
      <c r="B170" s="19">
        <v>0.96099999999999997</v>
      </c>
      <c r="C170" s="20">
        <v>19.579999999999998</v>
      </c>
      <c r="D170" s="17">
        <v>0.60499999999999998</v>
      </c>
      <c r="E170" s="17">
        <v>5</v>
      </c>
      <c r="F170" s="21">
        <v>403</v>
      </c>
      <c r="G170" s="17">
        <v>14.7</v>
      </c>
      <c r="H170" s="22">
        <v>6.319</v>
      </c>
      <c r="I170" s="23">
        <v>11.1</v>
      </c>
      <c r="J170" s="17">
        <v>23.8</v>
      </c>
    </row>
    <row r="171" spans="1:10">
      <c r="A171" s="24">
        <v>0.42</v>
      </c>
      <c r="B171" s="19">
        <v>0.95200000000000007</v>
      </c>
      <c r="C171" s="20">
        <v>19.579999999999998</v>
      </c>
      <c r="D171" s="17">
        <v>0.60499999999999998</v>
      </c>
      <c r="E171" s="17">
        <v>5</v>
      </c>
      <c r="F171" s="21">
        <v>403</v>
      </c>
      <c r="G171" s="17">
        <v>14.7</v>
      </c>
      <c r="H171" s="22">
        <v>6.4020000000000001</v>
      </c>
      <c r="I171" s="23">
        <v>11.32</v>
      </c>
      <c r="J171" s="17">
        <v>22.3</v>
      </c>
    </row>
    <row r="172" spans="1:10">
      <c r="A172" s="24">
        <v>4.8</v>
      </c>
      <c r="B172" s="19">
        <v>0.94599999999999995</v>
      </c>
      <c r="C172" s="20">
        <v>19.579999999999998</v>
      </c>
      <c r="D172" s="17">
        <v>0.60499999999999998</v>
      </c>
      <c r="E172" s="17">
        <v>5</v>
      </c>
      <c r="F172" s="21">
        <v>403</v>
      </c>
      <c r="G172" s="17">
        <v>14.7</v>
      </c>
      <c r="H172" s="22">
        <v>5.875</v>
      </c>
      <c r="I172" s="23">
        <v>14.43</v>
      </c>
      <c r="J172" s="17">
        <v>17.399999999999999</v>
      </c>
    </row>
    <row r="173" spans="1:10">
      <c r="A173" s="24">
        <v>6.98</v>
      </c>
      <c r="B173" s="19">
        <v>0.97299999999999998</v>
      </c>
      <c r="C173" s="20">
        <v>19.579999999999998</v>
      </c>
      <c r="D173" s="17">
        <v>0.60499999999999998</v>
      </c>
      <c r="E173" s="17">
        <v>5</v>
      </c>
      <c r="F173" s="21">
        <v>403</v>
      </c>
      <c r="G173" s="17">
        <v>14.7</v>
      </c>
      <c r="H173" s="22">
        <v>5.88</v>
      </c>
      <c r="I173" s="23">
        <v>12.03</v>
      </c>
      <c r="J173" s="17">
        <v>19.100000000000001</v>
      </c>
    </row>
    <row r="174" spans="1:10">
      <c r="A174" s="24">
        <v>0.57999999999999996</v>
      </c>
      <c r="B174" s="19">
        <v>0.88500000000000001</v>
      </c>
      <c r="C174" s="20">
        <v>4.05</v>
      </c>
      <c r="D174" s="17">
        <v>0.51</v>
      </c>
      <c r="E174" s="17">
        <v>5</v>
      </c>
      <c r="F174" s="21">
        <v>296</v>
      </c>
      <c r="G174" s="17">
        <v>16.600000000000001</v>
      </c>
      <c r="H174" s="22">
        <v>5.5720000000000001</v>
      </c>
      <c r="I174" s="23">
        <v>14.69</v>
      </c>
      <c r="J174" s="17">
        <v>23.1</v>
      </c>
    </row>
    <row r="175" spans="1:10">
      <c r="A175" s="24">
        <v>3.64</v>
      </c>
      <c r="B175" s="19">
        <v>0.84099999999999997</v>
      </c>
      <c r="C175" s="20">
        <v>4.05</v>
      </c>
      <c r="D175" s="17">
        <v>0.51</v>
      </c>
      <c r="E175" s="17">
        <v>5</v>
      </c>
      <c r="F175" s="21">
        <v>296</v>
      </c>
      <c r="G175" s="17">
        <v>16.600000000000001</v>
      </c>
      <c r="H175" s="22">
        <v>6.4160000000000004</v>
      </c>
      <c r="I175" s="23">
        <v>9.0399999999999991</v>
      </c>
      <c r="J175" s="17">
        <v>23.6</v>
      </c>
    </row>
    <row r="176" spans="1:10">
      <c r="A176" s="24">
        <v>0.76</v>
      </c>
      <c r="B176" s="19">
        <v>0.68700000000000006</v>
      </c>
      <c r="C176" s="20">
        <v>4.05</v>
      </c>
      <c r="D176" s="17">
        <v>0.51</v>
      </c>
      <c r="E176" s="17">
        <v>5</v>
      </c>
      <c r="F176" s="21">
        <v>296</v>
      </c>
      <c r="G176" s="17">
        <v>16.600000000000001</v>
      </c>
      <c r="H176" s="22">
        <v>5.859</v>
      </c>
      <c r="I176" s="23">
        <v>9.64</v>
      </c>
      <c r="J176" s="17">
        <v>22.6</v>
      </c>
    </row>
    <row r="177" spans="1:10">
      <c r="A177" s="24">
        <v>3.45</v>
      </c>
      <c r="B177" s="19">
        <v>0.33100000000000002</v>
      </c>
      <c r="C177" s="20">
        <v>4.05</v>
      </c>
      <c r="D177" s="17">
        <v>0.51</v>
      </c>
      <c r="E177" s="17">
        <v>5</v>
      </c>
      <c r="F177" s="21">
        <v>296</v>
      </c>
      <c r="G177" s="17">
        <v>16.600000000000001</v>
      </c>
      <c r="H177" s="22">
        <v>6.5460000000000003</v>
      </c>
      <c r="I177" s="23">
        <v>5.33</v>
      </c>
      <c r="J177" s="17">
        <v>29.4</v>
      </c>
    </row>
    <row r="178" spans="1:10">
      <c r="A178" s="24">
        <v>3.56</v>
      </c>
      <c r="B178" s="19">
        <v>0.47200000000000003</v>
      </c>
      <c r="C178" s="20">
        <v>4.05</v>
      </c>
      <c r="D178" s="17">
        <v>0.51</v>
      </c>
      <c r="E178" s="17">
        <v>5</v>
      </c>
      <c r="F178" s="21">
        <v>296</v>
      </c>
      <c r="G178" s="17">
        <v>16.600000000000001</v>
      </c>
      <c r="H178" s="22">
        <v>6.02</v>
      </c>
      <c r="I178" s="23">
        <v>10.11</v>
      </c>
      <c r="J178" s="17">
        <v>23.2</v>
      </c>
    </row>
    <row r="179" spans="1:10">
      <c r="A179" s="24">
        <v>6.08</v>
      </c>
      <c r="B179" s="19">
        <v>0.7340000000000001</v>
      </c>
      <c r="C179" s="20">
        <v>4.05</v>
      </c>
      <c r="D179" s="17">
        <v>0.51</v>
      </c>
      <c r="E179" s="17">
        <v>5</v>
      </c>
      <c r="F179" s="21">
        <v>296</v>
      </c>
      <c r="G179" s="17">
        <v>16.600000000000001</v>
      </c>
      <c r="H179" s="22">
        <v>6.3150000000000004</v>
      </c>
      <c r="I179" s="23">
        <v>6.29</v>
      </c>
      <c r="J179" s="17">
        <v>24.6</v>
      </c>
    </row>
    <row r="180" spans="1:10">
      <c r="A180" s="24">
        <v>3.77</v>
      </c>
      <c r="B180" s="19">
        <v>0.74400000000000011</v>
      </c>
      <c r="C180" s="20">
        <v>4.05</v>
      </c>
      <c r="D180" s="17">
        <v>0.51</v>
      </c>
      <c r="E180" s="17">
        <v>5</v>
      </c>
      <c r="F180" s="21">
        <v>296</v>
      </c>
      <c r="G180" s="17">
        <v>16.600000000000001</v>
      </c>
      <c r="H180" s="22">
        <v>6.86</v>
      </c>
      <c r="I180" s="23">
        <v>6.92</v>
      </c>
      <c r="J180" s="17">
        <v>29.9</v>
      </c>
    </row>
    <row r="181" spans="1:10">
      <c r="A181" s="24">
        <v>8.06</v>
      </c>
      <c r="B181" s="19">
        <v>0.58399999999999996</v>
      </c>
      <c r="C181" s="20">
        <v>2.46</v>
      </c>
      <c r="D181" s="17">
        <v>0.48799999999999999</v>
      </c>
      <c r="E181" s="17">
        <v>3</v>
      </c>
      <c r="F181" s="21">
        <v>193</v>
      </c>
      <c r="G181" s="17">
        <v>17.8</v>
      </c>
      <c r="H181" s="22">
        <v>6.98</v>
      </c>
      <c r="I181" s="23">
        <v>5.04</v>
      </c>
      <c r="J181" s="17">
        <v>37.200000000000003</v>
      </c>
    </row>
    <row r="182" spans="1:10">
      <c r="A182" s="24">
        <v>1.77</v>
      </c>
      <c r="B182" s="19">
        <v>0.83299999999999996</v>
      </c>
      <c r="C182" s="20">
        <v>2.46</v>
      </c>
      <c r="D182" s="17">
        <v>0.48799999999999999</v>
      </c>
      <c r="E182" s="17">
        <v>3</v>
      </c>
      <c r="F182" s="21">
        <v>193</v>
      </c>
      <c r="G182" s="17">
        <v>17.8</v>
      </c>
      <c r="H182" s="22">
        <v>7.7649999999999997</v>
      </c>
      <c r="I182" s="23">
        <v>7.56</v>
      </c>
      <c r="J182" s="17">
        <v>39.799999999999997</v>
      </c>
    </row>
    <row r="183" spans="1:10">
      <c r="A183" s="24">
        <v>2.2200000000000002</v>
      </c>
      <c r="B183" s="19">
        <v>0.622</v>
      </c>
      <c r="C183" s="20">
        <v>2.46</v>
      </c>
      <c r="D183" s="17">
        <v>0.48799999999999999</v>
      </c>
      <c r="E183" s="17">
        <v>3</v>
      </c>
      <c r="F183" s="21">
        <v>193</v>
      </c>
      <c r="G183" s="17">
        <v>17.8</v>
      </c>
      <c r="H183" s="22">
        <v>6.1440000000000001</v>
      </c>
      <c r="I183" s="23">
        <v>9.4499999999999993</v>
      </c>
      <c r="J183" s="17">
        <v>36.200000000000003</v>
      </c>
    </row>
    <row r="184" spans="1:10">
      <c r="A184" s="24">
        <v>6.17</v>
      </c>
      <c r="B184" s="19">
        <v>0.92200000000000004</v>
      </c>
      <c r="C184" s="20">
        <v>2.46</v>
      </c>
      <c r="D184" s="17">
        <v>0.48799999999999999</v>
      </c>
      <c r="E184" s="17">
        <v>3</v>
      </c>
      <c r="F184" s="21">
        <v>193</v>
      </c>
      <c r="G184" s="17">
        <v>17.8</v>
      </c>
      <c r="H184" s="22">
        <v>7.1550000000000002</v>
      </c>
      <c r="I184" s="23">
        <v>4.82</v>
      </c>
      <c r="J184" s="17">
        <v>37.9</v>
      </c>
    </row>
    <row r="185" spans="1:10">
      <c r="A185" s="24">
        <v>3.62</v>
      </c>
      <c r="B185" s="19">
        <v>0.95599999999999996</v>
      </c>
      <c r="C185" s="20">
        <v>2.46</v>
      </c>
      <c r="D185" s="17">
        <v>0.48799999999999999</v>
      </c>
      <c r="E185" s="17">
        <v>3</v>
      </c>
      <c r="F185" s="21">
        <v>193</v>
      </c>
      <c r="G185" s="17">
        <v>17.8</v>
      </c>
      <c r="H185" s="22">
        <v>6.5629999999999997</v>
      </c>
      <c r="I185" s="23">
        <v>5.68</v>
      </c>
      <c r="J185" s="17">
        <v>32.5</v>
      </c>
    </row>
    <row r="186" spans="1:10">
      <c r="A186" s="24">
        <v>5.47</v>
      </c>
      <c r="B186" s="19">
        <v>0.89800000000000002</v>
      </c>
      <c r="C186" s="20">
        <v>2.46</v>
      </c>
      <c r="D186" s="17">
        <v>0.48799999999999999</v>
      </c>
      <c r="E186" s="17">
        <v>3</v>
      </c>
      <c r="F186" s="21">
        <v>193</v>
      </c>
      <c r="G186" s="17">
        <v>17.8</v>
      </c>
      <c r="H186" s="22">
        <v>5.6040000000000001</v>
      </c>
      <c r="I186" s="23">
        <v>13.98</v>
      </c>
      <c r="J186" s="17">
        <v>26.4</v>
      </c>
    </row>
    <row r="187" spans="1:10">
      <c r="A187" s="24">
        <v>6.89</v>
      </c>
      <c r="B187" s="19">
        <v>0.68799999999999994</v>
      </c>
      <c r="C187" s="20">
        <v>2.46</v>
      </c>
      <c r="D187" s="17">
        <v>0.48799999999999999</v>
      </c>
      <c r="E187" s="17">
        <v>3</v>
      </c>
      <c r="F187" s="21">
        <v>193</v>
      </c>
      <c r="G187" s="17">
        <v>17.8</v>
      </c>
      <c r="H187" s="22">
        <v>6.1529999999999996</v>
      </c>
      <c r="I187" s="23">
        <v>13.15</v>
      </c>
      <c r="J187" s="17">
        <v>29.6</v>
      </c>
    </row>
    <row r="188" spans="1:10">
      <c r="A188" s="24">
        <v>7.23</v>
      </c>
      <c r="B188" s="19">
        <v>0.53600000000000003</v>
      </c>
      <c r="C188" s="20">
        <v>2.46</v>
      </c>
      <c r="D188" s="17">
        <v>0.48799999999999999</v>
      </c>
      <c r="E188" s="17">
        <v>3</v>
      </c>
      <c r="F188" s="21">
        <v>193</v>
      </c>
      <c r="G188" s="17">
        <v>17.8</v>
      </c>
      <c r="H188" s="22">
        <v>7.8310000000000004</v>
      </c>
      <c r="I188" s="23">
        <v>4.45</v>
      </c>
      <c r="J188" s="17">
        <v>50</v>
      </c>
    </row>
    <row r="189" spans="1:10">
      <c r="A189" s="24">
        <v>0.76</v>
      </c>
      <c r="B189" s="19">
        <v>0.41100000000000003</v>
      </c>
      <c r="C189" s="20">
        <v>3.44</v>
      </c>
      <c r="D189" s="17">
        <v>0.437</v>
      </c>
      <c r="E189" s="17">
        <v>5</v>
      </c>
      <c r="F189" s="21">
        <v>398</v>
      </c>
      <c r="G189" s="17">
        <v>15.2</v>
      </c>
      <c r="H189" s="22">
        <v>6.782</v>
      </c>
      <c r="I189" s="23">
        <v>6.68</v>
      </c>
      <c r="J189" s="17">
        <v>32</v>
      </c>
    </row>
    <row r="190" spans="1:10">
      <c r="A190" s="24">
        <v>3.82</v>
      </c>
      <c r="B190" s="19">
        <v>0.29100000000000004</v>
      </c>
      <c r="C190" s="20">
        <v>3.44</v>
      </c>
      <c r="D190" s="17">
        <v>0.437</v>
      </c>
      <c r="E190" s="17">
        <v>5</v>
      </c>
      <c r="F190" s="21">
        <v>398</v>
      </c>
      <c r="G190" s="17">
        <v>15.2</v>
      </c>
      <c r="H190" s="22">
        <v>6.556</v>
      </c>
      <c r="I190" s="23">
        <v>4.5599999999999996</v>
      </c>
      <c r="J190" s="17">
        <v>29.8</v>
      </c>
    </row>
    <row r="191" spans="1:10">
      <c r="A191" s="24">
        <v>8.73</v>
      </c>
      <c r="B191" s="19">
        <v>0.38900000000000001</v>
      </c>
      <c r="C191" s="20">
        <v>3.44</v>
      </c>
      <c r="D191" s="17">
        <v>0.437</v>
      </c>
      <c r="E191" s="17">
        <v>5</v>
      </c>
      <c r="F191" s="21">
        <v>398</v>
      </c>
      <c r="G191" s="17">
        <v>15.2</v>
      </c>
      <c r="H191" s="22">
        <v>7.1849999999999996</v>
      </c>
      <c r="I191" s="23">
        <v>5.39</v>
      </c>
      <c r="J191" s="17">
        <v>34.9</v>
      </c>
    </row>
    <row r="192" spans="1:10">
      <c r="A192" s="24">
        <v>0.62</v>
      </c>
      <c r="B192" s="19">
        <v>0.215</v>
      </c>
      <c r="C192" s="20">
        <v>3.44</v>
      </c>
      <c r="D192" s="17">
        <v>0.437</v>
      </c>
      <c r="E192" s="17">
        <v>5</v>
      </c>
      <c r="F192" s="21">
        <v>398</v>
      </c>
      <c r="G192" s="17">
        <v>15.2</v>
      </c>
      <c r="H192" s="22">
        <v>6.9509999999999996</v>
      </c>
      <c r="I192" s="23">
        <v>5.0999999999999996</v>
      </c>
      <c r="J192" s="17">
        <v>37</v>
      </c>
    </row>
    <row r="193" spans="1:10">
      <c r="A193" s="24">
        <v>0.9</v>
      </c>
      <c r="B193" s="19">
        <v>0.308</v>
      </c>
      <c r="C193" s="20">
        <v>3.44</v>
      </c>
      <c r="D193" s="17">
        <v>0.437</v>
      </c>
      <c r="E193" s="17">
        <v>5</v>
      </c>
      <c r="F193" s="21">
        <v>398</v>
      </c>
      <c r="G193" s="17">
        <v>15.2</v>
      </c>
      <c r="H193" s="22">
        <v>6.7389999999999999</v>
      </c>
      <c r="I193" s="23">
        <v>4.6900000000000004</v>
      </c>
      <c r="J193" s="17">
        <v>30.5</v>
      </c>
    </row>
    <row r="194" spans="1:10">
      <c r="A194" s="24">
        <v>2.7</v>
      </c>
      <c r="B194" s="19">
        <v>0.26300000000000001</v>
      </c>
      <c r="C194" s="20">
        <v>3.44</v>
      </c>
      <c r="D194" s="17">
        <v>0.437</v>
      </c>
      <c r="E194" s="17">
        <v>5</v>
      </c>
      <c r="F194" s="21">
        <v>398</v>
      </c>
      <c r="G194" s="17">
        <v>15.2</v>
      </c>
      <c r="H194" s="22">
        <v>7.1779999999999999</v>
      </c>
      <c r="I194" s="23">
        <v>2.87</v>
      </c>
      <c r="J194" s="17">
        <v>36.4</v>
      </c>
    </row>
    <row r="195" spans="1:10">
      <c r="A195" s="24">
        <v>6.51</v>
      </c>
      <c r="B195" s="19">
        <v>9.9000000000000005E-2</v>
      </c>
      <c r="C195" s="20">
        <v>2.93</v>
      </c>
      <c r="D195" s="17">
        <v>0.40100000000000002</v>
      </c>
      <c r="E195" s="17">
        <v>1</v>
      </c>
      <c r="F195" s="21">
        <v>265</v>
      </c>
      <c r="G195" s="17">
        <v>15.6</v>
      </c>
      <c r="H195" s="22">
        <v>6.8</v>
      </c>
      <c r="I195" s="23">
        <v>5.03</v>
      </c>
      <c r="J195" s="17">
        <v>31.1</v>
      </c>
    </row>
    <row r="196" spans="1:10">
      <c r="A196" s="24">
        <v>1.65</v>
      </c>
      <c r="B196" s="19">
        <v>0.188</v>
      </c>
      <c r="C196" s="20">
        <v>2.93</v>
      </c>
      <c r="D196" s="17">
        <v>0.40100000000000002</v>
      </c>
      <c r="E196" s="17">
        <v>1</v>
      </c>
      <c r="F196" s="21">
        <v>265</v>
      </c>
      <c r="G196" s="17">
        <v>15.6</v>
      </c>
      <c r="H196" s="22">
        <v>6.6040000000000001</v>
      </c>
      <c r="I196" s="23">
        <v>4.38</v>
      </c>
      <c r="J196" s="17">
        <v>29.1</v>
      </c>
    </row>
    <row r="197" spans="1:10">
      <c r="A197" s="24">
        <v>9.89</v>
      </c>
      <c r="B197" s="19">
        <v>0.32</v>
      </c>
      <c r="C197" s="20">
        <v>0.46</v>
      </c>
      <c r="D197" s="17">
        <v>0.42199999999999999</v>
      </c>
      <c r="E197" s="17">
        <v>4</v>
      </c>
      <c r="F197" s="21">
        <v>255</v>
      </c>
      <c r="G197" s="17">
        <v>14.4</v>
      </c>
      <c r="H197" s="22">
        <v>7.875</v>
      </c>
      <c r="I197" s="23">
        <v>2.97</v>
      </c>
      <c r="J197" s="17">
        <v>50</v>
      </c>
    </row>
    <row r="198" spans="1:10">
      <c r="A198" s="24">
        <v>6.03</v>
      </c>
      <c r="B198" s="19">
        <v>0.34100000000000003</v>
      </c>
      <c r="C198" s="20">
        <v>1.52</v>
      </c>
      <c r="D198" s="17">
        <v>0.40400000000000003</v>
      </c>
      <c r="E198" s="17">
        <v>2</v>
      </c>
      <c r="F198" s="21">
        <v>329</v>
      </c>
      <c r="G198" s="17">
        <v>12.6</v>
      </c>
      <c r="H198" s="22">
        <v>7.2869999999999999</v>
      </c>
      <c r="I198" s="23">
        <v>4.08</v>
      </c>
      <c r="J198" s="17">
        <v>33.299999999999997</v>
      </c>
    </row>
    <row r="199" spans="1:10">
      <c r="A199" s="24">
        <v>6.31</v>
      </c>
      <c r="B199" s="19">
        <v>0.36600000000000005</v>
      </c>
      <c r="C199" s="20">
        <v>1.52</v>
      </c>
      <c r="D199" s="17">
        <v>0.40400000000000003</v>
      </c>
      <c r="E199" s="17">
        <v>2</v>
      </c>
      <c r="F199" s="21">
        <v>329</v>
      </c>
      <c r="G199" s="17">
        <v>12.6</v>
      </c>
      <c r="H199" s="22">
        <v>7.1070000000000002</v>
      </c>
      <c r="I199" s="23">
        <v>8.61</v>
      </c>
      <c r="J199" s="17">
        <v>30.3</v>
      </c>
    </row>
    <row r="200" spans="1:10">
      <c r="A200" s="24">
        <v>9.7799999999999994</v>
      </c>
      <c r="B200" s="19">
        <v>0.38300000000000001</v>
      </c>
      <c r="C200" s="20">
        <v>1.52</v>
      </c>
      <c r="D200" s="17">
        <v>0.40400000000000003</v>
      </c>
      <c r="E200" s="17">
        <v>2</v>
      </c>
      <c r="F200" s="21">
        <v>329</v>
      </c>
      <c r="G200" s="17">
        <v>12.6</v>
      </c>
      <c r="H200" s="22">
        <v>7.274</v>
      </c>
      <c r="I200" s="23">
        <v>6.62</v>
      </c>
      <c r="J200" s="17">
        <v>34.6</v>
      </c>
    </row>
    <row r="201" spans="1:10">
      <c r="A201" s="24">
        <v>3.19</v>
      </c>
      <c r="B201" s="19">
        <v>0.153</v>
      </c>
      <c r="C201" s="20">
        <v>1.47</v>
      </c>
      <c r="D201" s="17">
        <v>0.40300000000000002</v>
      </c>
      <c r="E201" s="17">
        <v>3</v>
      </c>
      <c r="F201" s="21">
        <v>402</v>
      </c>
      <c r="G201" s="17">
        <v>17</v>
      </c>
      <c r="H201" s="22">
        <v>6.9749999999999996</v>
      </c>
      <c r="I201" s="23">
        <v>4.5599999999999996</v>
      </c>
      <c r="J201" s="17">
        <v>34.9</v>
      </c>
    </row>
    <row r="202" spans="1:10">
      <c r="A202" s="24">
        <v>0.41</v>
      </c>
      <c r="B202" s="19">
        <v>0.13900000000000001</v>
      </c>
      <c r="C202" s="20">
        <v>1.47</v>
      </c>
      <c r="D202" s="17">
        <v>0.40300000000000002</v>
      </c>
      <c r="E202" s="17">
        <v>3</v>
      </c>
      <c r="F202" s="21">
        <v>402</v>
      </c>
      <c r="G202" s="17">
        <v>17</v>
      </c>
      <c r="H202" s="22">
        <v>7.1349999999999998</v>
      </c>
      <c r="I202" s="23">
        <v>4.45</v>
      </c>
      <c r="J202" s="17">
        <v>32.9</v>
      </c>
    </row>
    <row r="203" spans="1:10">
      <c r="A203" s="24">
        <v>1.92</v>
      </c>
      <c r="B203" s="19">
        <v>0.38400000000000001</v>
      </c>
      <c r="C203" s="20">
        <v>2.0299999999999998</v>
      </c>
      <c r="D203" s="17">
        <v>0.41499999999999998</v>
      </c>
      <c r="E203" s="17">
        <v>2</v>
      </c>
      <c r="F203" s="21">
        <v>348</v>
      </c>
      <c r="G203" s="17">
        <v>14.7</v>
      </c>
      <c r="H203" s="22">
        <v>6.1619999999999999</v>
      </c>
      <c r="I203" s="23">
        <v>7.43</v>
      </c>
      <c r="J203" s="17">
        <v>24.1</v>
      </c>
    </row>
    <row r="204" spans="1:10">
      <c r="A204" s="24">
        <v>9.3000000000000007</v>
      </c>
      <c r="B204" s="19">
        <v>0.157</v>
      </c>
      <c r="C204" s="20">
        <v>2.0299999999999998</v>
      </c>
      <c r="D204" s="17">
        <v>0.41499999999999998</v>
      </c>
      <c r="E204" s="17">
        <v>2</v>
      </c>
      <c r="F204" s="21">
        <v>348</v>
      </c>
      <c r="G204" s="17">
        <v>14.7</v>
      </c>
      <c r="H204" s="22">
        <v>7.61</v>
      </c>
      <c r="I204" s="23">
        <v>3.11</v>
      </c>
      <c r="J204" s="17">
        <v>42.3</v>
      </c>
    </row>
    <row r="205" spans="1:10">
      <c r="A205" s="24">
        <v>2.7</v>
      </c>
      <c r="B205" s="19">
        <v>0.33200000000000002</v>
      </c>
      <c r="C205" s="20">
        <v>2.68</v>
      </c>
      <c r="D205" s="17">
        <v>0.41610000000000003</v>
      </c>
      <c r="E205" s="17">
        <v>4</v>
      </c>
      <c r="F205" s="21">
        <v>224</v>
      </c>
      <c r="G205" s="17">
        <v>14.7</v>
      </c>
      <c r="H205" s="22">
        <v>7.8529999999999998</v>
      </c>
      <c r="I205" s="23">
        <v>3.81</v>
      </c>
      <c r="J205" s="17">
        <v>48.5</v>
      </c>
    </row>
    <row r="206" spans="1:10">
      <c r="A206" s="24">
        <v>9.07</v>
      </c>
      <c r="B206" s="19">
        <v>0.31900000000000001</v>
      </c>
      <c r="C206" s="20">
        <v>2.68</v>
      </c>
      <c r="D206" s="17">
        <v>0.41610000000000003</v>
      </c>
      <c r="E206" s="17">
        <v>4</v>
      </c>
      <c r="F206" s="21">
        <v>224</v>
      </c>
      <c r="G206" s="17">
        <v>14.7</v>
      </c>
      <c r="H206" s="22">
        <v>8.0340000000000007</v>
      </c>
      <c r="I206" s="23">
        <v>2.88</v>
      </c>
      <c r="J206" s="17">
        <v>50</v>
      </c>
    </row>
    <row r="207" spans="1:10">
      <c r="A207" s="24">
        <v>8.52</v>
      </c>
      <c r="B207" s="19">
        <v>0.223</v>
      </c>
      <c r="C207" s="20">
        <v>10.59</v>
      </c>
      <c r="D207" s="17">
        <v>0.48899999999999999</v>
      </c>
      <c r="E207" s="17">
        <v>4</v>
      </c>
      <c r="F207" s="21">
        <v>277</v>
      </c>
      <c r="G207" s="17">
        <v>18.600000000000001</v>
      </c>
      <c r="H207" s="22">
        <v>5.891</v>
      </c>
      <c r="I207" s="23">
        <v>10.87</v>
      </c>
      <c r="J207" s="17">
        <v>22.6</v>
      </c>
    </row>
    <row r="208" spans="1:10">
      <c r="A208" s="24">
        <v>0.04</v>
      </c>
      <c r="B208" s="19">
        <v>0.52500000000000002</v>
      </c>
      <c r="C208" s="20">
        <v>10.59</v>
      </c>
      <c r="D208" s="17">
        <v>0.48899999999999999</v>
      </c>
      <c r="E208" s="17">
        <v>4</v>
      </c>
      <c r="F208" s="21">
        <v>277</v>
      </c>
      <c r="G208" s="17">
        <v>18.600000000000001</v>
      </c>
      <c r="H208" s="22">
        <v>6.3259999999999996</v>
      </c>
      <c r="I208" s="23">
        <v>10.97</v>
      </c>
      <c r="J208" s="17">
        <v>24.4</v>
      </c>
    </row>
    <row r="209" spans="1:10">
      <c r="A209" s="24">
        <v>4.63</v>
      </c>
      <c r="B209" s="19">
        <v>0.72700000000000009</v>
      </c>
      <c r="C209" s="20">
        <v>10.59</v>
      </c>
      <c r="D209" s="17">
        <v>0.48899999999999999</v>
      </c>
      <c r="E209" s="17">
        <v>4</v>
      </c>
      <c r="F209" s="21">
        <v>277</v>
      </c>
      <c r="G209" s="17">
        <v>18.600000000000001</v>
      </c>
      <c r="H209" s="22">
        <v>5.7830000000000004</v>
      </c>
      <c r="I209" s="23">
        <v>18.059999999999999</v>
      </c>
      <c r="J209" s="17">
        <v>22.5</v>
      </c>
    </row>
    <row r="210" spans="1:10">
      <c r="A210" s="24">
        <v>9.11</v>
      </c>
      <c r="B210" s="19">
        <v>0.59100000000000008</v>
      </c>
      <c r="C210" s="20">
        <v>10.59</v>
      </c>
      <c r="D210" s="17">
        <v>0.48899999999999999</v>
      </c>
      <c r="E210" s="17">
        <v>4</v>
      </c>
      <c r="F210" s="21">
        <v>277</v>
      </c>
      <c r="G210" s="17">
        <v>18.600000000000001</v>
      </c>
      <c r="H210" s="22">
        <v>6.0640000000000001</v>
      </c>
      <c r="I210" s="23">
        <v>14.66</v>
      </c>
      <c r="J210" s="17">
        <v>24.4</v>
      </c>
    </row>
    <row r="211" spans="1:10">
      <c r="A211" s="24">
        <v>9.02</v>
      </c>
      <c r="B211" s="19">
        <v>1</v>
      </c>
      <c r="C211" s="20">
        <v>10.59</v>
      </c>
      <c r="D211" s="17">
        <v>0.48899999999999999</v>
      </c>
      <c r="E211" s="17">
        <v>4</v>
      </c>
      <c r="F211" s="21">
        <v>277</v>
      </c>
      <c r="G211" s="17">
        <v>18.600000000000001</v>
      </c>
      <c r="H211" s="22">
        <v>5.3440000000000003</v>
      </c>
      <c r="I211" s="23">
        <v>23.09</v>
      </c>
      <c r="J211" s="17">
        <v>20</v>
      </c>
    </row>
    <row r="212" spans="1:10">
      <c r="A212" s="24">
        <v>9.58</v>
      </c>
      <c r="B212" s="19">
        <v>0.92099999999999993</v>
      </c>
      <c r="C212" s="20">
        <v>10.59</v>
      </c>
      <c r="D212" s="17">
        <v>0.48899999999999999</v>
      </c>
      <c r="E212" s="17">
        <v>4</v>
      </c>
      <c r="F212" s="21">
        <v>277</v>
      </c>
      <c r="G212" s="17">
        <v>18.600000000000001</v>
      </c>
      <c r="H212" s="22">
        <v>5.96</v>
      </c>
      <c r="I212" s="23">
        <v>17.27</v>
      </c>
      <c r="J212" s="17">
        <v>21.7</v>
      </c>
    </row>
    <row r="213" spans="1:10">
      <c r="A213" s="24">
        <v>0.23</v>
      </c>
      <c r="B213" s="19">
        <v>0.88600000000000001</v>
      </c>
      <c r="C213" s="20">
        <v>10.59</v>
      </c>
      <c r="D213" s="17">
        <v>0.48899999999999999</v>
      </c>
      <c r="E213" s="17">
        <v>4</v>
      </c>
      <c r="F213" s="21">
        <v>277</v>
      </c>
      <c r="G213" s="17">
        <v>18.600000000000001</v>
      </c>
      <c r="H213" s="22">
        <v>5.4039999999999999</v>
      </c>
      <c r="I213" s="23">
        <v>23.98</v>
      </c>
      <c r="J213" s="17">
        <v>19.3</v>
      </c>
    </row>
    <row r="214" spans="1:10">
      <c r="A214" s="24">
        <v>9.31</v>
      </c>
      <c r="B214" s="19">
        <v>0.53800000000000003</v>
      </c>
      <c r="C214" s="20">
        <v>10.59</v>
      </c>
      <c r="D214" s="17">
        <v>0.48899999999999999</v>
      </c>
      <c r="E214" s="17">
        <v>4</v>
      </c>
      <c r="F214" s="21">
        <v>277</v>
      </c>
      <c r="G214" s="17">
        <v>18.600000000000001</v>
      </c>
      <c r="H214" s="22">
        <v>5.8070000000000004</v>
      </c>
      <c r="I214" s="23">
        <v>16.03</v>
      </c>
      <c r="J214" s="17">
        <v>22.4</v>
      </c>
    </row>
    <row r="215" spans="1:10">
      <c r="A215" s="24">
        <v>4.21</v>
      </c>
      <c r="B215" s="19">
        <v>0.32299999999999995</v>
      </c>
      <c r="C215" s="20">
        <v>10.59</v>
      </c>
      <c r="D215" s="17">
        <v>0.48899999999999999</v>
      </c>
      <c r="E215" s="17">
        <v>4</v>
      </c>
      <c r="F215" s="21">
        <v>277</v>
      </c>
      <c r="G215" s="17">
        <v>18.600000000000001</v>
      </c>
      <c r="H215" s="22">
        <v>6.375</v>
      </c>
      <c r="I215" s="23">
        <v>9.3800000000000008</v>
      </c>
      <c r="J215" s="17">
        <v>28.1</v>
      </c>
    </row>
    <row r="216" spans="1:10">
      <c r="A216" s="24">
        <v>3.55</v>
      </c>
      <c r="B216" s="19">
        <v>9.8000000000000004E-2</v>
      </c>
      <c r="C216" s="20">
        <v>10.59</v>
      </c>
      <c r="D216" s="17">
        <v>0.48899999999999999</v>
      </c>
      <c r="E216" s="17">
        <v>4</v>
      </c>
      <c r="F216" s="21">
        <v>277</v>
      </c>
      <c r="G216" s="17">
        <v>18.600000000000001</v>
      </c>
      <c r="H216" s="22">
        <v>5.4119999999999999</v>
      </c>
      <c r="I216" s="23">
        <v>29.55</v>
      </c>
      <c r="J216" s="17">
        <v>23.7</v>
      </c>
    </row>
    <row r="217" spans="1:10">
      <c r="A217" s="24">
        <v>3.54</v>
      </c>
      <c r="B217" s="19">
        <v>0.42399999999999999</v>
      </c>
      <c r="C217" s="20">
        <v>10.59</v>
      </c>
      <c r="D217" s="17">
        <v>0.48899999999999999</v>
      </c>
      <c r="E217" s="17">
        <v>4</v>
      </c>
      <c r="F217" s="21">
        <v>277</v>
      </c>
      <c r="G217" s="17">
        <v>18.600000000000001</v>
      </c>
      <c r="H217" s="22">
        <v>6.1820000000000004</v>
      </c>
      <c r="I217" s="23">
        <v>9.4700000000000006</v>
      </c>
      <c r="J217" s="17">
        <v>25</v>
      </c>
    </row>
    <row r="218" spans="1:10">
      <c r="A218" s="24">
        <v>9.01</v>
      </c>
      <c r="B218" s="19">
        <v>0.56000000000000005</v>
      </c>
      <c r="C218" s="20">
        <v>13.89</v>
      </c>
      <c r="D218" s="17">
        <v>0.55000000000000004</v>
      </c>
      <c r="E218" s="17">
        <v>5</v>
      </c>
      <c r="F218" s="21">
        <v>276</v>
      </c>
      <c r="G218" s="17">
        <v>16.399999999999999</v>
      </c>
      <c r="H218" s="22">
        <v>5.8879999999999999</v>
      </c>
      <c r="I218" s="23">
        <v>13.51</v>
      </c>
      <c r="J218" s="17">
        <v>23.3</v>
      </c>
    </row>
    <row r="219" spans="1:10">
      <c r="A219" s="24">
        <v>7.67</v>
      </c>
      <c r="B219" s="19">
        <v>0.85099999999999998</v>
      </c>
      <c r="C219" s="20">
        <v>13.89</v>
      </c>
      <c r="D219" s="17">
        <v>0.55000000000000004</v>
      </c>
      <c r="E219" s="17">
        <v>5</v>
      </c>
      <c r="F219" s="21">
        <v>276</v>
      </c>
      <c r="G219" s="17">
        <v>16.399999999999999</v>
      </c>
      <c r="H219" s="22">
        <v>6.6420000000000003</v>
      </c>
      <c r="I219" s="23">
        <v>9.69</v>
      </c>
      <c r="J219" s="17">
        <v>28.7</v>
      </c>
    </row>
    <row r="220" spans="1:10">
      <c r="A220" s="24">
        <v>0.13</v>
      </c>
      <c r="B220" s="19">
        <v>0.93799999999999994</v>
      </c>
      <c r="C220" s="20">
        <v>13.89</v>
      </c>
      <c r="D220" s="17">
        <v>0.55000000000000004</v>
      </c>
      <c r="E220" s="17">
        <v>5</v>
      </c>
      <c r="F220" s="21">
        <v>276</v>
      </c>
      <c r="G220" s="17">
        <v>16.399999999999999</v>
      </c>
      <c r="H220" s="22">
        <v>5.9509999999999996</v>
      </c>
      <c r="I220" s="23">
        <v>17.920000000000002</v>
      </c>
      <c r="J220" s="17">
        <v>21.5</v>
      </c>
    </row>
    <row r="221" spans="1:10">
      <c r="A221" s="24">
        <v>4.49</v>
      </c>
      <c r="B221" s="19">
        <v>0.92400000000000004</v>
      </c>
      <c r="C221" s="20">
        <v>13.89</v>
      </c>
      <c r="D221" s="17">
        <v>0.55000000000000004</v>
      </c>
      <c r="E221" s="17">
        <v>5</v>
      </c>
      <c r="F221" s="21">
        <v>276</v>
      </c>
      <c r="G221" s="17">
        <v>16.399999999999999</v>
      </c>
      <c r="H221" s="22">
        <v>6.3730000000000002</v>
      </c>
      <c r="I221" s="23">
        <v>10.5</v>
      </c>
      <c r="J221" s="17">
        <v>23</v>
      </c>
    </row>
    <row r="222" spans="1:10">
      <c r="A222" s="24">
        <v>0.81</v>
      </c>
      <c r="B222" s="19">
        <v>0.88500000000000001</v>
      </c>
      <c r="C222" s="20">
        <v>6.2</v>
      </c>
      <c r="D222" s="17">
        <v>0.50700000000000001</v>
      </c>
      <c r="E222" s="17">
        <v>8</v>
      </c>
      <c r="F222" s="21">
        <v>307</v>
      </c>
      <c r="G222" s="17">
        <v>17.399999999999999</v>
      </c>
      <c r="H222" s="22">
        <v>6.9509999999999996</v>
      </c>
      <c r="I222" s="23">
        <v>9.7100000000000009</v>
      </c>
      <c r="J222" s="17">
        <v>26.7</v>
      </c>
    </row>
    <row r="223" spans="1:10">
      <c r="A223" s="24">
        <v>4.91</v>
      </c>
      <c r="B223" s="19">
        <v>0.91300000000000003</v>
      </c>
      <c r="C223" s="20">
        <v>6.2</v>
      </c>
      <c r="D223" s="17">
        <v>0.50700000000000001</v>
      </c>
      <c r="E223" s="17">
        <v>8</v>
      </c>
      <c r="F223" s="21">
        <v>307</v>
      </c>
      <c r="G223" s="17">
        <v>17.399999999999999</v>
      </c>
      <c r="H223" s="22">
        <v>6.1639999999999997</v>
      </c>
      <c r="I223" s="23">
        <v>21.46</v>
      </c>
      <c r="J223" s="17">
        <v>21.7</v>
      </c>
    </row>
    <row r="224" spans="1:10">
      <c r="A224" s="24">
        <v>9.68</v>
      </c>
      <c r="B224" s="19">
        <v>0.77700000000000002</v>
      </c>
      <c r="C224" s="20">
        <v>6.2</v>
      </c>
      <c r="D224" s="17">
        <v>0.50700000000000001</v>
      </c>
      <c r="E224" s="17">
        <v>8</v>
      </c>
      <c r="F224" s="21">
        <v>307</v>
      </c>
      <c r="G224" s="17">
        <v>17.399999999999999</v>
      </c>
      <c r="H224" s="22">
        <v>6.8789999999999996</v>
      </c>
      <c r="I224" s="23">
        <v>9.93</v>
      </c>
      <c r="J224" s="17">
        <v>27.5</v>
      </c>
    </row>
    <row r="225" spans="1:10">
      <c r="A225" s="24">
        <v>5.76</v>
      </c>
      <c r="B225" s="19">
        <v>0.80799999999999994</v>
      </c>
      <c r="C225" s="20">
        <v>6.2</v>
      </c>
      <c r="D225" s="17">
        <v>0.50700000000000001</v>
      </c>
      <c r="E225" s="17">
        <v>8</v>
      </c>
      <c r="F225" s="21">
        <v>307</v>
      </c>
      <c r="G225" s="17">
        <v>17.399999999999999</v>
      </c>
      <c r="H225" s="22">
        <v>6.6180000000000003</v>
      </c>
      <c r="I225" s="23">
        <v>7.6</v>
      </c>
      <c r="J225" s="17">
        <v>30.1</v>
      </c>
    </row>
    <row r="226" spans="1:10">
      <c r="A226" s="24">
        <v>4.79</v>
      </c>
      <c r="B226" s="19">
        <v>0.78300000000000003</v>
      </c>
      <c r="C226" s="20">
        <v>6.2</v>
      </c>
      <c r="D226" s="17">
        <v>0.504</v>
      </c>
      <c r="E226" s="17">
        <v>8</v>
      </c>
      <c r="F226" s="21">
        <v>307</v>
      </c>
      <c r="G226" s="17">
        <v>17.399999999999999</v>
      </c>
      <c r="H226" s="22">
        <v>8.266</v>
      </c>
      <c r="I226" s="23">
        <v>4.1399999999999997</v>
      </c>
      <c r="J226" s="17">
        <v>44.8</v>
      </c>
    </row>
    <row r="227" spans="1:10">
      <c r="A227" s="24">
        <v>0.55000000000000004</v>
      </c>
      <c r="B227" s="19">
        <v>0.83000000000000007</v>
      </c>
      <c r="C227" s="20">
        <v>6.2</v>
      </c>
      <c r="D227" s="17">
        <v>0.504</v>
      </c>
      <c r="E227" s="17">
        <v>8</v>
      </c>
      <c r="F227" s="21">
        <v>307</v>
      </c>
      <c r="G227" s="17">
        <v>17.399999999999999</v>
      </c>
      <c r="H227" s="22">
        <v>8.7249999999999996</v>
      </c>
      <c r="I227" s="23">
        <v>4.63</v>
      </c>
      <c r="J227" s="17">
        <v>50</v>
      </c>
    </row>
    <row r="228" spans="1:10">
      <c r="A228" s="24">
        <v>4.0599999999999996</v>
      </c>
      <c r="B228" s="19">
        <v>0.86499999999999999</v>
      </c>
      <c r="C228" s="20">
        <v>6.2</v>
      </c>
      <c r="D228" s="17">
        <v>0.504</v>
      </c>
      <c r="E228" s="17">
        <v>8</v>
      </c>
      <c r="F228" s="21">
        <v>307</v>
      </c>
      <c r="G228" s="17">
        <v>17.399999999999999</v>
      </c>
      <c r="H228" s="22">
        <v>8.0399999999999991</v>
      </c>
      <c r="I228" s="23">
        <v>3.13</v>
      </c>
      <c r="J228" s="17">
        <v>37.6</v>
      </c>
    </row>
    <row r="229" spans="1:10">
      <c r="A229" s="24">
        <v>4.45</v>
      </c>
      <c r="B229" s="19">
        <v>0.79900000000000004</v>
      </c>
      <c r="C229" s="20">
        <v>6.2</v>
      </c>
      <c r="D229" s="17">
        <v>0.504</v>
      </c>
      <c r="E229" s="17">
        <v>8</v>
      </c>
      <c r="F229" s="21">
        <v>307</v>
      </c>
      <c r="G229" s="17">
        <v>17.399999999999999</v>
      </c>
      <c r="H229" s="22">
        <v>7.1630000000000003</v>
      </c>
      <c r="I229" s="23">
        <v>6.36</v>
      </c>
      <c r="J229" s="17">
        <v>31.6</v>
      </c>
    </row>
    <row r="230" spans="1:10">
      <c r="A230" s="24">
        <v>2.25</v>
      </c>
      <c r="B230" s="19">
        <v>0.17</v>
      </c>
      <c r="C230" s="20">
        <v>6.2</v>
      </c>
      <c r="D230" s="17">
        <v>0.504</v>
      </c>
      <c r="E230" s="17">
        <v>8</v>
      </c>
      <c r="F230" s="21">
        <v>307</v>
      </c>
      <c r="G230" s="17">
        <v>17.399999999999999</v>
      </c>
      <c r="H230" s="22">
        <v>7.6859999999999999</v>
      </c>
      <c r="I230" s="23">
        <v>3.92</v>
      </c>
      <c r="J230" s="17">
        <v>46.7</v>
      </c>
    </row>
    <row r="231" spans="1:10">
      <c r="A231" s="24">
        <v>6.63</v>
      </c>
      <c r="B231" s="19">
        <v>0.214</v>
      </c>
      <c r="C231" s="20">
        <v>6.2</v>
      </c>
      <c r="D231" s="17">
        <v>0.504</v>
      </c>
      <c r="E231" s="17">
        <v>8</v>
      </c>
      <c r="F231" s="21">
        <v>307</v>
      </c>
      <c r="G231" s="17">
        <v>17.399999999999999</v>
      </c>
      <c r="H231" s="22">
        <v>6.5519999999999996</v>
      </c>
      <c r="I231" s="23">
        <v>3.76</v>
      </c>
      <c r="J231" s="17">
        <v>31.5</v>
      </c>
    </row>
    <row r="232" spans="1:10">
      <c r="A232" s="24">
        <v>9.32</v>
      </c>
      <c r="B232" s="19">
        <v>0.68099999999999994</v>
      </c>
      <c r="C232" s="20">
        <v>6.2</v>
      </c>
      <c r="D232" s="17">
        <v>0.504</v>
      </c>
      <c r="E232" s="17">
        <v>8</v>
      </c>
      <c r="F232" s="21">
        <v>307</v>
      </c>
      <c r="G232" s="17">
        <v>17.399999999999999</v>
      </c>
      <c r="H232" s="22">
        <v>5.9809999999999999</v>
      </c>
      <c r="I232" s="23">
        <v>11.65</v>
      </c>
      <c r="J232" s="17">
        <v>24.3</v>
      </c>
    </row>
    <row r="233" spans="1:10">
      <c r="A233" s="24">
        <v>5.01</v>
      </c>
      <c r="B233" s="19">
        <v>0.76900000000000013</v>
      </c>
      <c r="C233" s="20">
        <v>6.2</v>
      </c>
      <c r="D233" s="17">
        <v>0.504</v>
      </c>
      <c r="E233" s="17">
        <v>8</v>
      </c>
      <c r="F233" s="21">
        <v>307</v>
      </c>
      <c r="G233" s="17">
        <v>17.399999999999999</v>
      </c>
      <c r="H233" s="22">
        <v>7.4119999999999999</v>
      </c>
      <c r="I233" s="23">
        <v>5.25</v>
      </c>
      <c r="J233" s="17">
        <v>31.7</v>
      </c>
    </row>
    <row r="234" spans="1:10">
      <c r="A234" s="24">
        <v>7.47</v>
      </c>
      <c r="B234" s="19">
        <v>0.73299999999999998</v>
      </c>
      <c r="C234" s="20">
        <v>6.2</v>
      </c>
      <c r="D234" s="17">
        <v>0.50700000000000001</v>
      </c>
      <c r="E234" s="17">
        <v>8</v>
      </c>
      <c r="F234" s="21">
        <v>307</v>
      </c>
      <c r="G234" s="17">
        <v>17.399999999999999</v>
      </c>
      <c r="H234" s="22">
        <v>8.3369999999999997</v>
      </c>
      <c r="I234" s="23">
        <v>2.4700000000000002</v>
      </c>
      <c r="J234" s="17">
        <v>41.7</v>
      </c>
    </row>
    <row r="235" spans="1:10">
      <c r="A235" s="24">
        <v>4.7300000000000004</v>
      </c>
      <c r="B235" s="19">
        <v>0.70400000000000007</v>
      </c>
      <c r="C235" s="20">
        <v>6.2</v>
      </c>
      <c r="D235" s="17">
        <v>0.50700000000000001</v>
      </c>
      <c r="E235" s="17">
        <v>8</v>
      </c>
      <c r="F235" s="21">
        <v>307</v>
      </c>
      <c r="G235" s="17">
        <v>17.399999999999999</v>
      </c>
      <c r="H235" s="22">
        <v>8.2469999999999999</v>
      </c>
      <c r="I235" s="23">
        <v>3.95</v>
      </c>
      <c r="J235" s="17">
        <v>48.3</v>
      </c>
    </row>
    <row r="236" spans="1:10">
      <c r="A236" s="24">
        <v>2.0499999999999998</v>
      </c>
      <c r="B236" s="19">
        <v>0.66500000000000004</v>
      </c>
      <c r="C236" s="20">
        <v>6.2</v>
      </c>
      <c r="D236" s="17">
        <v>0.50700000000000001</v>
      </c>
      <c r="E236" s="17">
        <v>8</v>
      </c>
      <c r="F236" s="21">
        <v>307</v>
      </c>
      <c r="G236" s="17">
        <v>17.399999999999999</v>
      </c>
      <c r="H236" s="22">
        <v>6.726</v>
      </c>
      <c r="I236" s="23">
        <v>8.0500000000000007</v>
      </c>
      <c r="J236" s="17">
        <v>29</v>
      </c>
    </row>
    <row r="237" spans="1:10">
      <c r="A237" s="24">
        <v>7.65</v>
      </c>
      <c r="B237" s="19">
        <v>0.61499999999999999</v>
      </c>
      <c r="C237" s="20">
        <v>6.2</v>
      </c>
      <c r="D237" s="17">
        <v>0.50700000000000001</v>
      </c>
      <c r="E237" s="17">
        <v>8</v>
      </c>
      <c r="F237" s="21">
        <v>307</v>
      </c>
      <c r="G237" s="17">
        <v>17.399999999999999</v>
      </c>
      <c r="H237" s="22">
        <v>6.0860000000000003</v>
      </c>
      <c r="I237" s="23">
        <v>10.88</v>
      </c>
      <c r="J237" s="17">
        <v>24</v>
      </c>
    </row>
    <row r="238" spans="1:10">
      <c r="A238" s="24">
        <v>6.74</v>
      </c>
      <c r="B238" s="19">
        <v>0.76500000000000001</v>
      </c>
      <c r="C238" s="20">
        <v>6.2</v>
      </c>
      <c r="D238" s="17">
        <v>0.50700000000000001</v>
      </c>
      <c r="E238" s="17">
        <v>8</v>
      </c>
      <c r="F238" s="21">
        <v>307</v>
      </c>
      <c r="G238" s="17">
        <v>17.399999999999999</v>
      </c>
      <c r="H238" s="22">
        <v>6.6310000000000002</v>
      </c>
      <c r="I238" s="23">
        <v>9.5399999999999991</v>
      </c>
      <c r="J238" s="17">
        <v>25.1</v>
      </c>
    </row>
    <row r="239" spans="1:10">
      <c r="A239" s="24">
        <v>7.28</v>
      </c>
      <c r="B239" s="19">
        <v>0.71599999999999997</v>
      </c>
      <c r="C239" s="20">
        <v>6.2</v>
      </c>
      <c r="D239" s="17">
        <v>0.50700000000000001</v>
      </c>
      <c r="E239" s="17">
        <v>8</v>
      </c>
      <c r="F239" s="21">
        <v>307</v>
      </c>
      <c r="G239" s="17">
        <v>17.399999999999999</v>
      </c>
      <c r="H239" s="22">
        <v>7.3579999999999997</v>
      </c>
      <c r="I239" s="23">
        <v>4.7300000000000004</v>
      </c>
      <c r="J239" s="17">
        <v>31.5</v>
      </c>
    </row>
    <row r="240" spans="1:10">
      <c r="A240" s="24">
        <v>6.13</v>
      </c>
      <c r="B240" s="19">
        <v>0.185</v>
      </c>
      <c r="C240" s="20">
        <v>4.93</v>
      </c>
      <c r="D240" s="17">
        <v>0.42799999999999999</v>
      </c>
      <c r="E240" s="17">
        <v>6</v>
      </c>
      <c r="F240" s="21">
        <v>300</v>
      </c>
      <c r="G240" s="17">
        <v>16.600000000000001</v>
      </c>
      <c r="H240" s="22">
        <v>6.4809999999999999</v>
      </c>
      <c r="I240" s="23">
        <v>6.36</v>
      </c>
      <c r="J240" s="17">
        <v>23.7</v>
      </c>
    </row>
    <row r="241" spans="1:10">
      <c r="A241" s="24">
        <v>2.58</v>
      </c>
      <c r="B241" s="19">
        <v>0.42200000000000004</v>
      </c>
      <c r="C241" s="20">
        <v>4.93</v>
      </c>
      <c r="D241" s="17">
        <v>0.42799999999999999</v>
      </c>
      <c r="E241" s="17">
        <v>6</v>
      </c>
      <c r="F241" s="21">
        <v>300</v>
      </c>
      <c r="G241" s="17">
        <v>16.600000000000001</v>
      </c>
      <c r="H241" s="22">
        <v>6.6059999999999999</v>
      </c>
      <c r="I241" s="23">
        <v>7.37</v>
      </c>
      <c r="J241" s="17">
        <v>23.3</v>
      </c>
    </row>
    <row r="242" spans="1:10">
      <c r="A242" s="24">
        <v>6.93</v>
      </c>
      <c r="B242" s="19">
        <v>0.54300000000000004</v>
      </c>
      <c r="C242" s="20">
        <v>4.93</v>
      </c>
      <c r="D242" s="17">
        <v>0.42799999999999999</v>
      </c>
      <c r="E242" s="17">
        <v>6</v>
      </c>
      <c r="F242" s="21">
        <v>300</v>
      </c>
      <c r="G242" s="17">
        <v>16.600000000000001</v>
      </c>
      <c r="H242" s="22">
        <v>6.8970000000000002</v>
      </c>
      <c r="I242" s="23">
        <v>11.38</v>
      </c>
      <c r="J242" s="17">
        <v>22</v>
      </c>
    </row>
    <row r="243" spans="1:10">
      <c r="A243" s="24">
        <v>7.25</v>
      </c>
      <c r="B243" s="19">
        <v>0.65099999999999991</v>
      </c>
      <c r="C243" s="20">
        <v>4.93</v>
      </c>
      <c r="D243" s="17">
        <v>0.42799999999999999</v>
      </c>
      <c r="E243" s="17">
        <v>6</v>
      </c>
      <c r="F243" s="21">
        <v>300</v>
      </c>
      <c r="G243" s="17">
        <v>16.600000000000001</v>
      </c>
      <c r="H243" s="22">
        <v>6.0949999999999998</v>
      </c>
      <c r="I243" s="23">
        <v>12.4</v>
      </c>
      <c r="J243" s="17">
        <v>20.100000000000001</v>
      </c>
    </row>
    <row r="244" spans="1:10">
      <c r="A244" s="24">
        <v>4.3499999999999996</v>
      </c>
      <c r="B244" s="19">
        <v>0.52900000000000003</v>
      </c>
      <c r="C244" s="20">
        <v>4.93</v>
      </c>
      <c r="D244" s="17">
        <v>0.42799999999999999</v>
      </c>
      <c r="E244" s="17">
        <v>6</v>
      </c>
      <c r="F244" s="21">
        <v>300</v>
      </c>
      <c r="G244" s="17">
        <v>16.600000000000001</v>
      </c>
      <c r="H244" s="22">
        <v>6.3579999999999997</v>
      </c>
      <c r="I244" s="23">
        <v>11.22</v>
      </c>
      <c r="J244" s="17">
        <v>22.2</v>
      </c>
    </row>
    <row r="245" spans="1:10">
      <c r="A245" s="24">
        <v>5.26</v>
      </c>
      <c r="B245" s="19">
        <v>7.8E-2</v>
      </c>
      <c r="C245" s="20">
        <v>4.93</v>
      </c>
      <c r="D245" s="17">
        <v>0.42799999999999999</v>
      </c>
      <c r="E245" s="17">
        <v>6</v>
      </c>
      <c r="F245" s="21">
        <v>300</v>
      </c>
      <c r="G245" s="17">
        <v>16.600000000000001</v>
      </c>
      <c r="H245" s="22">
        <v>6.3929999999999998</v>
      </c>
      <c r="I245" s="23">
        <v>5.19</v>
      </c>
      <c r="J245" s="17">
        <v>23.7</v>
      </c>
    </row>
    <row r="246" spans="1:10">
      <c r="A246" s="24">
        <v>3.64</v>
      </c>
      <c r="B246" s="19">
        <v>0.76500000000000001</v>
      </c>
      <c r="C246" s="20">
        <v>5.86</v>
      </c>
      <c r="D246" s="17">
        <v>0.43099999999999999</v>
      </c>
      <c r="E246" s="17">
        <v>7</v>
      </c>
      <c r="F246" s="21">
        <v>330</v>
      </c>
      <c r="G246" s="17">
        <v>19.100000000000001</v>
      </c>
      <c r="H246" s="22">
        <v>5.593</v>
      </c>
      <c r="I246" s="23">
        <v>12.5</v>
      </c>
      <c r="J246" s="17">
        <v>17.600000000000001</v>
      </c>
    </row>
    <row r="247" spans="1:10">
      <c r="A247" s="24">
        <v>5.47</v>
      </c>
      <c r="B247" s="19">
        <v>0.70200000000000007</v>
      </c>
      <c r="C247" s="20">
        <v>5.86</v>
      </c>
      <c r="D247" s="17">
        <v>0.43099999999999999</v>
      </c>
      <c r="E247" s="17">
        <v>7</v>
      </c>
      <c r="F247" s="21">
        <v>330</v>
      </c>
      <c r="G247" s="17">
        <v>19.100000000000001</v>
      </c>
      <c r="H247" s="22">
        <v>5.6050000000000004</v>
      </c>
      <c r="I247" s="23">
        <v>18.46</v>
      </c>
      <c r="J247" s="17">
        <v>18.5</v>
      </c>
    </row>
    <row r="248" spans="1:10">
      <c r="A248" s="24">
        <v>4.29</v>
      </c>
      <c r="B248" s="19">
        <v>0.34899999999999998</v>
      </c>
      <c r="C248" s="20">
        <v>5.86</v>
      </c>
      <c r="D248" s="17">
        <v>0.43099999999999999</v>
      </c>
      <c r="E248" s="17">
        <v>7</v>
      </c>
      <c r="F248" s="21">
        <v>330</v>
      </c>
      <c r="G248" s="17">
        <v>19.100000000000001</v>
      </c>
      <c r="H248" s="22">
        <v>6.1079999999999997</v>
      </c>
      <c r="I248" s="23">
        <v>9.16</v>
      </c>
      <c r="J248" s="17">
        <v>24.3</v>
      </c>
    </row>
    <row r="249" spans="1:10">
      <c r="A249" s="24">
        <v>2.48</v>
      </c>
      <c r="B249" s="19">
        <v>0.79200000000000004</v>
      </c>
      <c r="C249" s="20">
        <v>5.86</v>
      </c>
      <c r="D249" s="17">
        <v>0.43099999999999999</v>
      </c>
      <c r="E249" s="17">
        <v>7</v>
      </c>
      <c r="F249" s="21">
        <v>330</v>
      </c>
      <c r="G249" s="17">
        <v>19.100000000000001</v>
      </c>
      <c r="H249" s="22">
        <v>6.226</v>
      </c>
      <c r="I249" s="23">
        <v>10.15</v>
      </c>
      <c r="J249" s="17">
        <v>20.5</v>
      </c>
    </row>
    <row r="250" spans="1:10">
      <c r="A250" s="24">
        <v>0.69</v>
      </c>
      <c r="B250" s="19">
        <v>0.49100000000000005</v>
      </c>
      <c r="C250" s="20">
        <v>5.86</v>
      </c>
      <c r="D250" s="17">
        <v>0.43099999999999999</v>
      </c>
      <c r="E250" s="17">
        <v>7</v>
      </c>
      <c r="F250" s="21">
        <v>330</v>
      </c>
      <c r="G250" s="17">
        <v>19.100000000000001</v>
      </c>
      <c r="H250" s="22">
        <v>6.4329999999999998</v>
      </c>
      <c r="I250" s="23">
        <v>9.52</v>
      </c>
      <c r="J250" s="17">
        <v>24.5</v>
      </c>
    </row>
    <row r="251" spans="1:10">
      <c r="A251" s="24">
        <v>2.88</v>
      </c>
      <c r="B251" s="19">
        <v>0.17500000000000002</v>
      </c>
      <c r="C251" s="20">
        <v>5.86</v>
      </c>
      <c r="D251" s="17">
        <v>0.43099999999999999</v>
      </c>
      <c r="E251" s="17">
        <v>7</v>
      </c>
      <c r="F251" s="21">
        <v>330</v>
      </c>
      <c r="G251" s="17">
        <v>19.100000000000001</v>
      </c>
      <c r="H251" s="22">
        <v>6.718</v>
      </c>
      <c r="I251" s="23">
        <v>6.56</v>
      </c>
      <c r="J251" s="17">
        <v>26.2</v>
      </c>
    </row>
    <row r="252" spans="1:10">
      <c r="A252" s="24">
        <v>9.07</v>
      </c>
      <c r="B252" s="19">
        <v>0.13</v>
      </c>
      <c r="C252" s="20">
        <v>5.86</v>
      </c>
      <c r="D252" s="17">
        <v>0.43099999999999999</v>
      </c>
      <c r="E252" s="17">
        <v>7</v>
      </c>
      <c r="F252" s="21">
        <v>330</v>
      </c>
      <c r="G252" s="17">
        <v>19.100000000000001</v>
      </c>
      <c r="H252" s="22">
        <v>6.4870000000000001</v>
      </c>
      <c r="I252" s="23">
        <v>5.9</v>
      </c>
      <c r="J252" s="17">
        <v>24.4</v>
      </c>
    </row>
    <row r="253" spans="1:10">
      <c r="A253" s="24">
        <v>7.57</v>
      </c>
      <c r="B253" s="19">
        <v>8.900000000000001E-2</v>
      </c>
      <c r="C253" s="20">
        <v>5.86</v>
      </c>
      <c r="D253" s="17">
        <v>0.43099999999999999</v>
      </c>
      <c r="E253" s="17">
        <v>7</v>
      </c>
      <c r="F253" s="21">
        <v>330</v>
      </c>
      <c r="G253" s="17">
        <v>19.100000000000001</v>
      </c>
      <c r="H253" s="22">
        <v>6.4379999999999997</v>
      </c>
      <c r="I253" s="23">
        <v>3.59</v>
      </c>
      <c r="J253" s="17">
        <v>24.8</v>
      </c>
    </row>
    <row r="254" spans="1:10">
      <c r="A254" s="24">
        <v>7.52</v>
      </c>
      <c r="B254" s="19">
        <v>6.8000000000000005E-2</v>
      </c>
      <c r="C254" s="20">
        <v>5.86</v>
      </c>
      <c r="D254" s="17">
        <v>0.43099999999999999</v>
      </c>
      <c r="E254" s="17">
        <v>7</v>
      </c>
      <c r="F254" s="21">
        <v>330</v>
      </c>
      <c r="G254" s="17">
        <v>19.100000000000001</v>
      </c>
      <c r="H254" s="22">
        <v>6.9569999999999999</v>
      </c>
      <c r="I254" s="23">
        <v>3.53</v>
      </c>
      <c r="J254" s="17">
        <v>29.6</v>
      </c>
    </row>
    <row r="255" spans="1:10">
      <c r="A255" s="24">
        <v>8.49</v>
      </c>
      <c r="B255" s="19">
        <v>8.4000000000000005E-2</v>
      </c>
      <c r="C255" s="20">
        <v>5.86</v>
      </c>
      <c r="D255" s="17">
        <v>0.43099999999999999</v>
      </c>
      <c r="E255" s="17">
        <v>7</v>
      </c>
      <c r="F255" s="21">
        <v>330</v>
      </c>
      <c r="G255" s="17">
        <v>19.100000000000001</v>
      </c>
      <c r="H255" s="22">
        <v>8.2590000000000003</v>
      </c>
      <c r="I255" s="23">
        <v>3.54</v>
      </c>
      <c r="J255" s="17">
        <v>42.8</v>
      </c>
    </row>
    <row r="256" spans="1:10">
      <c r="A256" s="24">
        <v>6.19</v>
      </c>
      <c r="B256" s="19">
        <v>0.32</v>
      </c>
      <c r="C256" s="20">
        <v>3.64</v>
      </c>
      <c r="D256" s="17">
        <v>0.39200000000000002</v>
      </c>
      <c r="E256" s="17">
        <v>1</v>
      </c>
      <c r="F256" s="21">
        <v>315</v>
      </c>
      <c r="G256" s="17">
        <v>16.399999999999999</v>
      </c>
      <c r="H256" s="22">
        <v>6.1079999999999997</v>
      </c>
      <c r="I256" s="23">
        <v>6.57</v>
      </c>
      <c r="J256" s="17">
        <v>21.9</v>
      </c>
    </row>
    <row r="257" spans="1:10">
      <c r="A257" s="24">
        <v>2.5</v>
      </c>
      <c r="B257" s="19">
        <v>0.19100000000000003</v>
      </c>
      <c r="C257" s="20">
        <v>3.64</v>
      </c>
      <c r="D257" s="17">
        <v>0.39200000000000002</v>
      </c>
      <c r="E257" s="17">
        <v>1</v>
      </c>
      <c r="F257" s="21">
        <v>315</v>
      </c>
      <c r="G257" s="17">
        <v>16.399999999999999</v>
      </c>
      <c r="H257" s="22">
        <v>5.8760000000000003</v>
      </c>
      <c r="I257" s="23">
        <v>9.25</v>
      </c>
      <c r="J257" s="17">
        <v>20.9</v>
      </c>
    </row>
    <row r="258" spans="1:10">
      <c r="A258" s="24">
        <v>4.1399999999999997</v>
      </c>
      <c r="B258" s="19">
        <v>0.34200000000000003</v>
      </c>
      <c r="C258" s="20">
        <v>3.75</v>
      </c>
      <c r="D258" s="17">
        <v>0.39400000000000002</v>
      </c>
      <c r="E258" s="17">
        <v>3</v>
      </c>
      <c r="F258" s="21">
        <v>244</v>
      </c>
      <c r="G258" s="17">
        <v>15.9</v>
      </c>
      <c r="H258" s="22">
        <v>7.4539999999999997</v>
      </c>
      <c r="I258" s="23">
        <v>3.11</v>
      </c>
      <c r="J258" s="17">
        <v>44</v>
      </c>
    </row>
    <row r="259" spans="1:10">
      <c r="A259" s="24">
        <v>4.5999999999999996</v>
      </c>
      <c r="B259" s="19">
        <v>0.86900000000000011</v>
      </c>
      <c r="C259" s="20">
        <v>3.97</v>
      </c>
      <c r="D259" s="17">
        <v>0.64700000000000002</v>
      </c>
      <c r="E259" s="17">
        <v>5</v>
      </c>
      <c r="F259" s="21">
        <v>264</v>
      </c>
      <c r="G259" s="17">
        <v>13</v>
      </c>
      <c r="H259" s="22">
        <v>8.7040000000000006</v>
      </c>
      <c r="I259" s="23">
        <v>5.12</v>
      </c>
      <c r="J259" s="17">
        <v>50</v>
      </c>
    </row>
    <row r="260" spans="1:10">
      <c r="A260" s="24">
        <v>0.12</v>
      </c>
      <c r="B260" s="19">
        <v>1</v>
      </c>
      <c r="C260" s="20">
        <v>3.97</v>
      </c>
      <c r="D260" s="17">
        <v>0.64700000000000002</v>
      </c>
      <c r="E260" s="17">
        <v>5</v>
      </c>
      <c r="F260" s="21">
        <v>264</v>
      </c>
      <c r="G260" s="17">
        <v>13</v>
      </c>
      <c r="H260" s="22">
        <v>7.3330000000000002</v>
      </c>
      <c r="I260" s="23">
        <v>7.79</v>
      </c>
      <c r="J260" s="17">
        <v>36</v>
      </c>
    </row>
    <row r="261" spans="1:10">
      <c r="A261" s="24">
        <v>4.74</v>
      </c>
      <c r="B261" s="19">
        <v>1</v>
      </c>
      <c r="C261" s="20">
        <v>3.97</v>
      </c>
      <c r="D261" s="17">
        <v>0.64700000000000002</v>
      </c>
      <c r="E261" s="17">
        <v>5</v>
      </c>
      <c r="F261" s="21">
        <v>264</v>
      </c>
      <c r="G261" s="17">
        <v>13</v>
      </c>
      <c r="H261" s="22">
        <v>6.8419999999999996</v>
      </c>
      <c r="I261" s="23">
        <v>6.9</v>
      </c>
      <c r="J261" s="17">
        <v>30.1</v>
      </c>
    </row>
    <row r="262" spans="1:10">
      <c r="A262" s="24">
        <v>6.51</v>
      </c>
      <c r="B262" s="19">
        <v>0.81799999999999995</v>
      </c>
      <c r="C262" s="20">
        <v>3.97</v>
      </c>
      <c r="D262" s="17">
        <v>0.64700000000000002</v>
      </c>
      <c r="E262" s="17">
        <v>5</v>
      </c>
      <c r="F262" s="21">
        <v>264</v>
      </c>
      <c r="G262" s="17">
        <v>13</v>
      </c>
      <c r="H262" s="22">
        <v>7.2030000000000003</v>
      </c>
      <c r="I262" s="23">
        <v>9.59</v>
      </c>
      <c r="J262" s="17">
        <v>33.799999999999997</v>
      </c>
    </row>
    <row r="263" spans="1:10">
      <c r="A263" s="24">
        <v>1.36</v>
      </c>
      <c r="B263" s="19">
        <v>0.89400000000000013</v>
      </c>
      <c r="C263" s="20">
        <v>3.97</v>
      </c>
      <c r="D263" s="17">
        <v>0.64700000000000002</v>
      </c>
      <c r="E263" s="17">
        <v>5</v>
      </c>
      <c r="F263" s="21">
        <v>264</v>
      </c>
      <c r="G263" s="17">
        <v>13</v>
      </c>
      <c r="H263" s="22">
        <v>7.52</v>
      </c>
      <c r="I263" s="23">
        <v>7.26</v>
      </c>
      <c r="J263" s="17">
        <v>43.1</v>
      </c>
    </row>
    <row r="264" spans="1:10">
      <c r="A264" s="24">
        <v>3.63</v>
      </c>
      <c r="B264" s="19">
        <v>0.91500000000000004</v>
      </c>
      <c r="C264" s="20">
        <v>3.97</v>
      </c>
      <c r="D264" s="17">
        <v>0.64700000000000002</v>
      </c>
      <c r="E264" s="17">
        <v>5</v>
      </c>
      <c r="F264" s="21">
        <v>264</v>
      </c>
      <c r="G264" s="17">
        <v>13</v>
      </c>
      <c r="H264" s="22">
        <v>8.3979999999999997</v>
      </c>
      <c r="I264" s="23">
        <v>5.91</v>
      </c>
      <c r="J264" s="17">
        <v>48.8</v>
      </c>
    </row>
    <row r="265" spans="1:10">
      <c r="A265" s="24">
        <v>3.22</v>
      </c>
      <c r="B265" s="19">
        <v>0.94500000000000006</v>
      </c>
      <c r="C265" s="20">
        <v>3.97</v>
      </c>
      <c r="D265" s="17">
        <v>0.64700000000000002</v>
      </c>
      <c r="E265" s="17">
        <v>5</v>
      </c>
      <c r="F265" s="21">
        <v>264</v>
      </c>
      <c r="G265" s="17">
        <v>13</v>
      </c>
      <c r="H265" s="22">
        <v>7.327</v>
      </c>
      <c r="I265" s="23">
        <v>11.25</v>
      </c>
      <c r="J265" s="17">
        <v>31</v>
      </c>
    </row>
    <row r="266" spans="1:10">
      <c r="A266" s="24">
        <v>7.15</v>
      </c>
      <c r="B266" s="19">
        <v>0.91599999999999993</v>
      </c>
      <c r="C266" s="20">
        <v>3.97</v>
      </c>
      <c r="D266" s="17">
        <v>0.64700000000000002</v>
      </c>
      <c r="E266" s="17">
        <v>5</v>
      </c>
      <c r="F266" s="21">
        <v>264</v>
      </c>
      <c r="G266" s="17">
        <v>13</v>
      </c>
      <c r="H266" s="22">
        <v>7.2060000000000004</v>
      </c>
      <c r="I266" s="23">
        <v>8.1</v>
      </c>
      <c r="J266" s="17">
        <v>36.5</v>
      </c>
    </row>
    <row r="267" spans="1:10">
      <c r="A267" s="24">
        <v>5.75</v>
      </c>
      <c r="B267" s="19">
        <v>0.628</v>
      </c>
      <c r="C267" s="20">
        <v>3.97</v>
      </c>
      <c r="D267" s="17">
        <v>0.64700000000000002</v>
      </c>
      <c r="E267" s="17">
        <v>5</v>
      </c>
      <c r="F267" s="21">
        <v>264</v>
      </c>
      <c r="G267" s="17">
        <v>13</v>
      </c>
      <c r="H267" s="22">
        <v>5.56</v>
      </c>
      <c r="I267" s="23">
        <v>10.45</v>
      </c>
      <c r="J267" s="17">
        <v>22.8</v>
      </c>
    </row>
    <row r="268" spans="1:10">
      <c r="A268" s="24">
        <v>3.44</v>
      </c>
      <c r="B268" s="19">
        <v>0.84599999999999997</v>
      </c>
      <c r="C268" s="20">
        <v>3.97</v>
      </c>
      <c r="D268" s="17">
        <v>0.64700000000000002</v>
      </c>
      <c r="E268" s="17">
        <v>5</v>
      </c>
      <c r="F268" s="21">
        <v>264</v>
      </c>
      <c r="G268" s="17">
        <v>13</v>
      </c>
      <c r="H268" s="22">
        <v>7.0140000000000002</v>
      </c>
      <c r="I268" s="23">
        <v>14.79</v>
      </c>
      <c r="J268" s="17">
        <v>30.7</v>
      </c>
    </row>
    <row r="269" spans="1:10">
      <c r="A269" s="24">
        <v>6.3</v>
      </c>
      <c r="B269" s="19">
        <v>0.67</v>
      </c>
      <c r="C269" s="20">
        <v>3.97</v>
      </c>
      <c r="D269" s="17">
        <v>0.57499999999999996</v>
      </c>
      <c r="E269" s="17">
        <v>5</v>
      </c>
      <c r="F269" s="21">
        <v>264</v>
      </c>
      <c r="G269" s="17">
        <v>13</v>
      </c>
      <c r="H269" s="22">
        <v>8.2970000000000006</v>
      </c>
      <c r="I269" s="23">
        <v>7.44</v>
      </c>
      <c r="J269" s="17">
        <v>50</v>
      </c>
    </row>
    <row r="270" spans="1:10">
      <c r="A270" s="24">
        <v>1.47</v>
      </c>
      <c r="B270" s="19">
        <v>0.52600000000000002</v>
      </c>
      <c r="C270" s="20">
        <v>3.97</v>
      </c>
      <c r="D270" s="17">
        <v>0.57499999999999996</v>
      </c>
      <c r="E270" s="17">
        <v>5</v>
      </c>
      <c r="F270" s="21">
        <v>264</v>
      </c>
      <c r="G270" s="17">
        <v>13</v>
      </c>
      <c r="H270" s="22">
        <v>7.47</v>
      </c>
      <c r="I270" s="23">
        <v>3.16</v>
      </c>
      <c r="J270" s="17">
        <v>43.5</v>
      </c>
    </row>
    <row r="271" spans="1:10">
      <c r="A271" s="24">
        <v>8.23</v>
      </c>
      <c r="B271" s="19">
        <v>0.61499999999999999</v>
      </c>
      <c r="C271" s="20">
        <v>6.96</v>
      </c>
      <c r="D271" s="17">
        <v>0.46400000000000002</v>
      </c>
      <c r="E271" s="17">
        <v>3</v>
      </c>
      <c r="F271" s="21">
        <v>223</v>
      </c>
      <c r="G271" s="17">
        <v>18.600000000000001</v>
      </c>
      <c r="H271" s="22">
        <v>5.92</v>
      </c>
      <c r="I271" s="23">
        <v>13.65</v>
      </c>
      <c r="J271" s="17">
        <v>20.7</v>
      </c>
    </row>
    <row r="272" spans="1:10">
      <c r="A272" s="24">
        <v>1.83</v>
      </c>
      <c r="B272" s="19">
        <v>0.42100000000000004</v>
      </c>
      <c r="C272" s="20">
        <v>6.96</v>
      </c>
      <c r="D272" s="17">
        <v>0.46400000000000002</v>
      </c>
      <c r="E272" s="17">
        <v>3</v>
      </c>
      <c r="F272" s="21">
        <v>223</v>
      </c>
      <c r="G272" s="17">
        <v>18.600000000000001</v>
      </c>
      <c r="H272" s="22">
        <v>5.8559999999999999</v>
      </c>
      <c r="I272" s="23">
        <v>13</v>
      </c>
      <c r="J272" s="17">
        <v>21.1</v>
      </c>
    </row>
    <row r="273" spans="1:10">
      <c r="A273" s="24">
        <v>9.64</v>
      </c>
      <c r="B273" s="19">
        <v>0.16300000000000001</v>
      </c>
      <c r="C273" s="20">
        <v>6.96</v>
      </c>
      <c r="D273" s="17">
        <v>0.46400000000000002</v>
      </c>
      <c r="E273" s="17">
        <v>3</v>
      </c>
      <c r="F273" s="21">
        <v>223</v>
      </c>
      <c r="G273" s="17">
        <v>18.600000000000001</v>
      </c>
      <c r="H273" s="22">
        <v>6.24</v>
      </c>
      <c r="I273" s="23">
        <v>6.59</v>
      </c>
      <c r="J273" s="17">
        <v>25.2</v>
      </c>
    </row>
    <row r="274" spans="1:10">
      <c r="A274" s="24">
        <v>7.4</v>
      </c>
      <c r="B274" s="19">
        <v>0.58700000000000008</v>
      </c>
      <c r="C274" s="20">
        <v>6.96</v>
      </c>
      <c r="D274" s="17">
        <v>0.46400000000000002</v>
      </c>
      <c r="E274" s="17">
        <v>3</v>
      </c>
      <c r="F274" s="21">
        <v>223</v>
      </c>
      <c r="G274" s="17">
        <v>18.600000000000001</v>
      </c>
      <c r="H274" s="22">
        <v>6.5380000000000003</v>
      </c>
      <c r="I274" s="23">
        <v>7.73</v>
      </c>
      <c r="J274" s="17">
        <v>24.4</v>
      </c>
    </row>
    <row r="275" spans="1:10">
      <c r="A275" s="24">
        <v>7.34</v>
      </c>
      <c r="B275" s="19">
        <v>0.51800000000000002</v>
      </c>
      <c r="C275" s="20">
        <v>6.96</v>
      </c>
      <c r="D275" s="17">
        <v>0.46400000000000002</v>
      </c>
      <c r="E275" s="17">
        <v>3</v>
      </c>
      <c r="F275" s="21">
        <v>223</v>
      </c>
      <c r="G275" s="17">
        <v>18.600000000000001</v>
      </c>
      <c r="H275" s="22">
        <v>7.6909999999999998</v>
      </c>
      <c r="I275" s="23">
        <v>6.58</v>
      </c>
      <c r="J275" s="17">
        <v>35.200000000000003</v>
      </c>
    </row>
    <row r="276" spans="1:10">
      <c r="A276" s="24">
        <v>0.33</v>
      </c>
      <c r="B276" s="19">
        <v>0.32900000000000001</v>
      </c>
      <c r="C276" s="20">
        <v>6.41</v>
      </c>
      <c r="D276" s="17">
        <v>0.44700000000000001</v>
      </c>
      <c r="E276" s="17">
        <v>4</v>
      </c>
      <c r="F276" s="21">
        <v>254</v>
      </c>
      <c r="G276" s="17">
        <v>17.600000000000001</v>
      </c>
      <c r="H276" s="22">
        <v>6.758</v>
      </c>
      <c r="I276" s="23">
        <v>3.53</v>
      </c>
      <c r="J276" s="17">
        <v>32.4</v>
      </c>
    </row>
    <row r="277" spans="1:10">
      <c r="A277" s="24">
        <v>8.7899999999999991</v>
      </c>
      <c r="B277" s="19">
        <v>0.42799999999999999</v>
      </c>
      <c r="C277" s="20">
        <v>6.41</v>
      </c>
      <c r="D277" s="17">
        <v>0.44700000000000001</v>
      </c>
      <c r="E277" s="17">
        <v>4</v>
      </c>
      <c r="F277" s="21">
        <v>254</v>
      </c>
      <c r="G277" s="17">
        <v>17.600000000000001</v>
      </c>
      <c r="H277" s="22">
        <v>6.8540000000000001</v>
      </c>
      <c r="I277" s="23">
        <v>2.98</v>
      </c>
      <c r="J277" s="17">
        <v>32</v>
      </c>
    </row>
    <row r="278" spans="1:10">
      <c r="A278" s="24">
        <v>9.35</v>
      </c>
      <c r="B278" s="19">
        <v>0.49</v>
      </c>
      <c r="C278" s="20">
        <v>6.41</v>
      </c>
      <c r="D278" s="17">
        <v>0.44700000000000001</v>
      </c>
      <c r="E278" s="17">
        <v>4</v>
      </c>
      <c r="F278" s="21">
        <v>254</v>
      </c>
      <c r="G278" s="17">
        <v>17.600000000000001</v>
      </c>
      <c r="H278" s="22">
        <v>7.2670000000000003</v>
      </c>
      <c r="I278" s="23">
        <v>6.05</v>
      </c>
      <c r="J278" s="17">
        <v>33.200000000000003</v>
      </c>
    </row>
    <row r="279" spans="1:10">
      <c r="A279" s="24">
        <v>8.7100000000000009</v>
      </c>
      <c r="B279" s="19">
        <v>0.27600000000000002</v>
      </c>
      <c r="C279" s="20">
        <v>6.41</v>
      </c>
      <c r="D279" s="17">
        <v>0.44700000000000001</v>
      </c>
      <c r="E279" s="17">
        <v>4</v>
      </c>
      <c r="F279" s="21">
        <v>254</v>
      </c>
      <c r="G279" s="17">
        <v>17.600000000000001</v>
      </c>
      <c r="H279" s="22">
        <v>6.8259999999999996</v>
      </c>
      <c r="I279" s="23">
        <v>4.16</v>
      </c>
      <c r="J279" s="17">
        <v>33.1</v>
      </c>
    </row>
    <row r="280" spans="1:10">
      <c r="A280" s="24">
        <v>0.11</v>
      </c>
      <c r="B280" s="19">
        <v>0.32100000000000001</v>
      </c>
      <c r="C280" s="20">
        <v>6.41</v>
      </c>
      <c r="D280" s="17">
        <v>0.44700000000000001</v>
      </c>
      <c r="E280" s="17">
        <v>4</v>
      </c>
      <c r="F280" s="21">
        <v>254</v>
      </c>
      <c r="G280" s="17">
        <v>17.600000000000001</v>
      </c>
      <c r="H280" s="22">
        <v>6.4820000000000002</v>
      </c>
      <c r="I280" s="23">
        <v>7.19</v>
      </c>
      <c r="J280" s="17">
        <v>29.1</v>
      </c>
    </row>
    <row r="281" spans="1:10">
      <c r="A281" s="24">
        <v>4.1100000000000003</v>
      </c>
      <c r="B281" s="19">
        <v>0.32200000000000001</v>
      </c>
      <c r="C281" s="20">
        <v>3.33</v>
      </c>
      <c r="D281" s="17">
        <v>0.44290000000000002</v>
      </c>
      <c r="E281" s="17">
        <v>5</v>
      </c>
      <c r="F281" s="21">
        <v>216</v>
      </c>
      <c r="G281" s="17">
        <v>14.9</v>
      </c>
      <c r="H281" s="22">
        <v>6.8120000000000003</v>
      </c>
      <c r="I281" s="23">
        <v>4.8499999999999996</v>
      </c>
      <c r="J281" s="17">
        <v>35.1</v>
      </c>
    </row>
    <row r="282" spans="1:10">
      <c r="A282" s="24">
        <v>5.53</v>
      </c>
      <c r="B282" s="19">
        <v>0.64500000000000002</v>
      </c>
      <c r="C282" s="20">
        <v>3.33</v>
      </c>
      <c r="D282" s="17">
        <v>0.44290000000000002</v>
      </c>
      <c r="E282" s="17">
        <v>5</v>
      </c>
      <c r="F282" s="21">
        <v>216</v>
      </c>
      <c r="G282" s="17">
        <v>14.9</v>
      </c>
      <c r="H282" s="22">
        <v>7.82</v>
      </c>
      <c r="I282" s="23">
        <v>3.76</v>
      </c>
      <c r="J282" s="17">
        <v>45.4</v>
      </c>
    </row>
    <row r="283" spans="1:10">
      <c r="A283" s="24">
        <v>7.79</v>
      </c>
      <c r="B283" s="19">
        <v>0.37200000000000005</v>
      </c>
      <c r="C283" s="20">
        <v>3.33</v>
      </c>
      <c r="D283" s="17">
        <v>0.44290000000000002</v>
      </c>
      <c r="E283" s="17">
        <v>5</v>
      </c>
      <c r="F283" s="21">
        <v>216</v>
      </c>
      <c r="G283" s="17">
        <v>14.9</v>
      </c>
      <c r="H283" s="22">
        <v>6.968</v>
      </c>
      <c r="I283" s="23">
        <v>4.59</v>
      </c>
      <c r="J283" s="17">
        <v>35.4</v>
      </c>
    </row>
    <row r="284" spans="1:10">
      <c r="A284" s="24">
        <v>4.2699999999999996</v>
      </c>
      <c r="B284" s="19">
        <v>0.49700000000000005</v>
      </c>
      <c r="C284" s="20">
        <v>3.33</v>
      </c>
      <c r="D284" s="17">
        <v>0.44290000000000002</v>
      </c>
      <c r="E284" s="17">
        <v>5</v>
      </c>
      <c r="F284" s="21">
        <v>216</v>
      </c>
      <c r="G284" s="17">
        <v>14.9</v>
      </c>
      <c r="H284" s="22">
        <v>7.6449999999999996</v>
      </c>
      <c r="I284" s="23">
        <v>3.01</v>
      </c>
      <c r="J284" s="17">
        <v>46</v>
      </c>
    </row>
    <row r="285" spans="1:10">
      <c r="A285" s="24">
        <v>4.71</v>
      </c>
      <c r="B285" s="19">
        <v>0.24800000000000003</v>
      </c>
      <c r="C285" s="20">
        <v>1.21</v>
      </c>
      <c r="D285" s="17">
        <v>0.40100000000000002</v>
      </c>
      <c r="E285" s="17">
        <v>1</v>
      </c>
      <c r="F285" s="21">
        <v>198</v>
      </c>
      <c r="G285" s="17">
        <v>13.6</v>
      </c>
      <c r="H285" s="22">
        <v>7.923</v>
      </c>
      <c r="I285" s="23">
        <v>3.16</v>
      </c>
      <c r="J285" s="17">
        <v>50</v>
      </c>
    </row>
    <row r="286" spans="1:10">
      <c r="A286" s="24">
        <v>6.75</v>
      </c>
      <c r="B286" s="19">
        <v>0.20800000000000002</v>
      </c>
      <c r="C286" s="20">
        <v>2.97</v>
      </c>
      <c r="D286" s="17">
        <v>0.4</v>
      </c>
      <c r="E286" s="17">
        <v>1</v>
      </c>
      <c r="F286" s="21">
        <v>285</v>
      </c>
      <c r="G286" s="17">
        <v>15.3</v>
      </c>
      <c r="H286" s="22">
        <v>7.0880000000000001</v>
      </c>
      <c r="I286" s="23">
        <v>7.85</v>
      </c>
      <c r="J286" s="17">
        <v>32.200000000000003</v>
      </c>
    </row>
    <row r="287" spans="1:10">
      <c r="A287" s="24">
        <v>5.99</v>
      </c>
      <c r="B287" s="19">
        <v>0.31900000000000001</v>
      </c>
      <c r="C287" s="20">
        <v>2.25</v>
      </c>
      <c r="D287" s="17">
        <v>0.38900000000000001</v>
      </c>
      <c r="E287" s="17">
        <v>1</v>
      </c>
      <c r="F287" s="21">
        <v>300</v>
      </c>
      <c r="G287" s="17">
        <v>15.3</v>
      </c>
      <c r="H287" s="22">
        <v>6.4530000000000003</v>
      </c>
      <c r="I287" s="23">
        <v>8.23</v>
      </c>
      <c r="J287" s="17">
        <v>22</v>
      </c>
    </row>
    <row r="288" spans="1:10">
      <c r="A288" s="24">
        <v>9.81</v>
      </c>
      <c r="B288" s="19">
        <v>0.315</v>
      </c>
      <c r="C288" s="20">
        <v>1.76</v>
      </c>
      <c r="D288" s="17">
        <v>0.38500000000000001</v>
      </c>
      <c r="E288" s="17">
        <v>1</v>
      </c>
      <c r="F288" s="21">
        <v>241</v>
      </c>
      <c r="G288" s="17">
        <v>18.2</v>
      </c>
      <c r="H288" s="22">
        <v>6.23</v>
      </c>
      <c r="I288" s="23">
        <v>12.93</v>
      </c>
      <c r="J288" s="17">
        <v>20.100000000000001</v>
      </c>
    </row>
    <row r="289" spans="1:10">
      <c r="A289" s="24">
        <v>0.23</v>
      </c>
      <c r="B289" s="19">
        <v>0.313</v>
      </c>
      <c r="C289" s="20">
        <v>5.32</v>
      </c>
      <c r="D289" s="17">
        <v>0.40500000000000003</v>
      </c>
      <c r="E289" s="17">
        <v>6</v>
      </c>
      <c r="F289" s="21">
        <v>293</v>
      </c>
      <c r="G289" s="17">
        <v>16.600000000000001</v>
      </c>
      <c r="H289" s="22">
        <v>6.2089999999999996</v>
      </c>
      <c r="I289" s="23">
        <v>7.14</v>
      </c>
      <c r="J289" s="17">
        <v>23.2</v>
      </c>
    </row>
    <row r="290" spans="1:10">
      <c r="A290" s="24">
        <v>8.49</v>
      </c>
      <c r="B290" s="19">
        <v>0.45600000000000002</v>
      </c>
      <c r="C290" s="20">
        <v>5.32</v>
      </c>
      <c r="D290" s="17">
        <v>0.40500000000000003</v>
      </c>
      <c r="E290" s="17">
        <v>6</v>
      </c>
      <c r="F290" s="21">
        <v>293</v>
      </c>
      <c r="G290" s="17">
        <v>16.600000000000001</v>
      </c>
      <c r="H290" s="22">
        <v>6.3150000000000004</v>
      </c>
      <c r="I290" s="23">
        <v>7.6</v>
      </c>
      <c r="J290" s="17">
        <v>22.3</v>
      </c>
    </row>
    <row r="291" spans="1:10">
      <c r="A291" s="24">
        <v>5.86</v>
      </c>
      <c r="B291" s="19">
        <v>0.22899999999999998</v>
      </c>
      <c r="C291" s="20">
        <v>5.32</v>
      </c>
      <c r="D291" s="17">
        <v>0.40500000000000003</v>
      </c>
      <c r="E291" s="17">
        <v>6</v>
      </c>
      <c r="F291" s="21">
        <v>293</v>
      </c>
      <c r="G291" s="17">
        <v>16.600000000000001</v>
      </c>
      <c r="H291" s="22">
        <v>6.5650000000000004</v>
      </c>
      <c r="I291" s="23">
        <v>9.51</v>
      </c>
      <c r="J291" s="17">
        <v>24.8</v>
      </c>
    </row>
    <row r="292" spans="1:10">
      <c r="A292" s="24">
        <v>0.53</v>
      </c>
      <c r="B292" s="19">
        <v>0.27899999999999997</v>
      </c>
      <c r="C292" s="20">
        <v>4.95</v>
      </c>
      <c r="D292" s="17">
        <v>0.41099999999999998</v>
      </c>
      <c r="E292" s="17">
        <v>4</v>
      </c>
      <c r="F292" s="21">
        <v>245</v>
      </c>
      <c r="G292" s="17">
        <v>19.2</v>
      </c>
      <c r="H292" s="22">
        <v>6.8609999999999998</v>
      </c>
      <c r="I292" s="23">
        <v>3.33</v>
      </c>
      <c r="J292" s="17">
        <v>28.5</v>
      </c>
    </row>
    <row r="293" spans="1:10">
      <c r="A293" s="24">
        <v>5.91</v>
      </c>
      <c r="B293" s="19">
        <v>0.27700000000000002</v>
      </c>
      <c r="C293" s="20">
        <v>4.95</v>
      </c>
      <c r="D293" s="17">
        <v>0.41099999999999998</v>
      </c>
      <c r="E293" s="17">
        <v>4</v>
      </c>
      <c r="F293" s="21">
        <v>245</v>
      </c>
      <c r="G293" s="17">
        <v>19.2</v>
      </c>
      <c r="H293" s="22">
        <v>7.1479999999999997</v>
      </c>
      <c r="I293" s="23">
        <v>3.56</v>
      </c>
      <c r="J293" s="17">
        <v>37.299999999999997</v>
      </c>
    </row>
    <row r="294" spans="1:10">
      <c r="A294" s="24">
        <v>4.96</v>
      </c>
      <c r="B294" s="19">
        <v>0.23399999999999999</v>
      </c>
      <c r="C294" s="20">
        <v>4.95</v>
      </c>
      <c r="D294" s="17">
        <v>0.41099999999999998</v>
      </c>
      <c r="E294" s="17">
        <v>4</v>
      </c>
      <c r="F294" s="21">
        <v>245</v>
      </c>
      <c r="G294" s="17">
        <v>19.2</v>
      </c>
      <c r="H294" s="22">
        <v>6.63</v>
      </c>
      <c r="I294" s="23">
        <v>4.7</v>
      </c>
      <c r="J294" s="17">
        <v>27.9</v>
      </c>
    </row>
    <row r="295" spans="1:10">
      <c r="A295" s="24">
        <v>5.63</v>
      </c>
      <c r="B295" s="19">
        <v>0.184</v>
      </c>
      <c r="C295" s="20">
        <v>13.92</v>
      </c>
      <c r="D295" s="17">
        <v>0.437</v>
      </c>
      <c r="E295" s="17">
        <v>4</v>
      </c>
      <c r="F295" s="21">
        <v>289</v>
      </c>
      <c r="G295" s="17">
        <v>16</v>
      </c>
      <c r="H295" s="22">
        <v>6.1269999999999998</v>
      </c>
      <c r="I295" s="23">
        <v>8.58</v>
      </c>
      <c r="J295" s="17">
        <v>23.9</v>
      </c>
    </row>
    <row r="296" spans="1:10">
      <c r="A296" s="24">
        <v>5.45</v>
      </c>
      <c r="B296" s="19">
        <v>0.42299999999999999</v>
      </c>
      <c r="C296" s="20">
        <v>13.92</v>
      </c>
      <c r="D296" s="17">
        <v>0.437</v>
      </c>
      <c r="E296" s="17">
        <v>4</v>
      </c>
      <c r="F296" s="21">
        <v>289</v>
      </c>
      <c r="G296" s="17">
        <v>16</v>
      </c>
      <c r="H296" s="22">
        <v>6.0090000000000003</v>
      </c>
      <c r="I296" s="23">
        <v>10.4</v>
      </c>
      <c r="J296" s="17">
        <v>21.7</v>
      </c>
    </row>
    <row r="297" spans="1:10">
      <c r="A297" s="24">
        <v>3.62</v>
      </c>
      <c r="B297" s="19">
        <v>0.311</v>
      </c>
      <c r="C297" s="20">
        <v>13.92</v>
      </c>
      <c r="D297" s="17">
        <v>0.437</v>
      </c>
      <c r="E297" s="17">
        <v>4</v>
      </c>
      <c r="F297" s="21">
        <v>289</v>
      </c>
      <c r="G297" s="17">
        <v>16</v>
      </c>
      <c r="H297" s="22">
        <v>6.6779999999999999</v>
      </c>
      <c r="I297" s="23">
        <v>6.27</v>
      </c>
      <c r="J297" s="17">
        <v>28.6</v>
      </c>
    </row>
    <row r="298" spans="1:10">
      <c r="A298" s="24">
        <v>6.58</v>
      </c>
      <c r="B298" s="19">
        <v>0.51</v>
      </c>
      <c r="C298" s="20">
        <v>13.92</v>
      </c>
      <c r="D298" s="17">
        <v>0.437</v>
      </c>
      <c r="E298" s="17">
        <v>4</v>
      </c>
      <c r="F298" s="21">
        <v>289</v>
      </c>
      <c r="G298" s="17">
        <v>16</v>
      </c>
      <c r="H298" s="22">
        <v>6.5490000000000004</v>
      </c>
      <c r="I298" s="23">
        <v>7.39</v>
      </c>
      <c r="J298" s="17">
        <v>27.1</v>
      </c>
    </row>
    <row r="299" spans="1:10">
      <c r="A299" s="24">
        <v>0.67</v>
      </c>
      <c r="B299" s="19">
        <v>0.57999999999999996</v>
      </c>
      <c r="C299" s="20">
        <v>13.92</v>
      </c>
      <c r="D299" s="17">
        <v>0.437</v>
      </c>
      <c r="E299" s="17">
        <v>4</v>
      </c>
      <c r="F299" s="21">
        <v>289</v>
      </c>
      <c r="G299" s="17">
        <v>16</v>
      </c>
      <c r="H299" s="22">
        <v>5.79</v>
      </c>
      <c r="I299" s="23">
        <v>15.84</v>
      </c>
      <c r="J299" s="17">
        <v>20.3</v>
      </c>
    </row>
    <row r="300" spans="1:10">
      <c r="A300" s="24">
        <v>2.0699999999999998</v>
      </c>
      <c r="B300" s="19">
        <v>0.20100000000000001</v>
      </c>
      <c r="C300" s="20">
        <v>2.2400000000000002</v>
      </c>
      <c r="D300" s="17">
        <v>0.4</v>
      </c>
      <c r="E300" s="17">
        <v>5</v>
      </c>
      <c r="F300" s="21">
        <v>358</v>
      </c>
      <c r="G300" s="17">
        <v>14.8</v>
      </c>
      <c r="H300" s="22">
        <v>6.3449999999999998</v>
      </c>
      <c r="I300" s="23">
        <v>4.97</v>
      </c>
      <c r="J300" s="17">
        <v>22.5</v>
      </c>
    </row>
    <row r="301" spans="1:10">
      <c r="A301" s="24">
        <v>0.84</v>
      </c>
      <c r="B301" s="19">
        <v>0.1</v>
      </c>
      <c r="C301" s="20">
        <v>2.2400000000000002</v>
      </c>
      <c r="D301" s="17">
        <v>0.4</v>
      </c>
      <c r="E301" s="17">
        <v>5</v>
      </c>
      <c r="F301" s="21">
        <v>358</v>
      </c>
      <c r="G301" s="17">
        <v>14.8</v>
      </c>
      <c r="H301" s="22">
        <v>7.0410000000000004</v>
      </c>
      <c r="I301" s="23">
        <v>4.74</v>
      </c>
      <c r="J301" s="17">
        <v>29</v>
      </c>
    </row>
    <row r="302" spans="1:10">
      <c r="A302" s="24">
        <v>4.17</v>
      </c>
      <c r="B302" s="19">
        <v>0.47399999999999998</v>
      </c>
      <c r="C302" s="20">
        <v>2.2400000000000002</v>
      </c>
      <c r="D302" s="17">
        <v>0.4</v>
      </c>
      <c r="E302" s="17">
        <v>5</v>
      </c>
      <c r="F302" s="21">
        <v>358</v>
      </c>
      <c r="G302" s="17">
        <v>14.8</v>
      </c>
      <c r="H302" s="22">
        <v>6.8710000000000004</v>
      </c>
      <c r="I302" s="23">
        <v>6.07</v>
      </c>
      <c r="J302" s="17">
        <v>24.8</v>
      </c>
    </row>
    <row r="303" spans="1:10">
      <c r="A303" s="24">
        <v>0.12</v>
      </c>
      <c r="B303" s="19">
        <v>0.40399999999999997</v>
      </c>
      <c r="C303" s="20">
        <v>6.09</v>
      </c>
      <c r="D303" s="17">
        <v>0.433</v>
      </c>
      <c r="E303" s="17">
        <v>7</v>
      </c>
      <c r="F303" s="21">
        <v>329</v>
      </c>
      <c r="G303" s="17">
        <v>16.100000000000001</v>
      </c>
      <c r="H303" s="22">
        <v>6.59</v>
      </c>
      <c r="I303" s="23">
        <v>9.5</v>
      </c>
      <c r="J303" s="17">
        <v>22</v>
      </c>
    </row>
    <row r="304" spans="1:10">
      <c r="A304" s="24">
        <v>2.06</v>
      </c>
      <c r="B304" s="19">
        <v>0.184</v>
      </c>
      <c r="C304" s="20">
        <v>6.09</v>
      </c>
      <c r="D304" s="17">
        <v>0.433</v>
      </c>
      <c r="E304" s="17">
        <v>7</v>
      </c>
      <c r="F304" s="21">
        <v>329</v>
      </c>
      <c r="G304" s="17">
        <v>16.100000000000001</v>
      </c>
      <c r="H304" s="22">
        <v>6.4950000000000001</v>
      </c>
      <c r="I304" s="23">
        <v>8.67</v>
      </c>
      <c r="J304" s="17">
        <v>26.4</v>
      </c>
    </row>
    <row r="305" spans="1:10">
      <c r="A305" s="24">
        <v>4.4800000000000004</v>
      </c>
      <c r="B305" s="19">
        <v>0.17699999999999999</v>
      </c>
      <c r="C305" s="20">
        <v>6.09</v>
      </c>
      <c r="D305" s="17">
        <v>0.433</v>
      </c>
      <c r="E305" s="17">
        <v>7</v>
      </c>
      <c r="F305" s="21">
        <v>329</v>
      </c>
      <c r="G305" s="17">
        <v>16.100000000000001</v>
      </c>
      <c r="H305" s="22">
        <v>6.9820000000000002</v>
      </c>
      <c r="I305" s="23">
        <v>4.8600000000000003</v>
      </c>
      <c r="J305" s="17">
        <v>33.1</v>
      </c>
    </row>
    <row r="306" spans="1:10">
      <c r="A306" s="24">
        <v>6.45</v>
      </c>
      <c r="B306" s="19">
        <v>0.41100000000000003</v>
      </c>
      <c r="C306" s="20">
        <v>2.1800000000000002</v>
      </c>
      <c r="D306" s="17">
        <v>0.47199999999999998</v>
      </c>
      <c r="E306" s="17">
        <v>7</v>
      </c>
      <c r="F306" s="21">
        <v>222</v>
      </c>
      <c r="G306" s="17">
        <v>18.399999999999999</v>
      </c>
      <c r="H306" s="22">
        <v>7.2359999999999998</v>
      </c>
      <c r="I306" s="23">
        <v>6.93</v>
      </c>
      <c r="J306" s="17">
        <v>36.1</v>
      </c>
    </row>
    <row r="307" spans="1:10">
      <c r="A307" s="24">
        <v>5.0599999999999996</v>
      </c>
      <c r="B307" s="19">
        <v>0.58100000000000007</v>
      </c>
      <c r="C307" s="20">
        <v>2.1800000000000002</v>
      </c>
      <c r="D307" s="17">
        <v>0.47199999999999998</v>
      </c>
      <c r="E307" s="17">
        <v>7</v>
      </c>
      <c r="F307" s="21">
        <v>222</v>
      </c>
      <c r="G307" s="17">
        <v>18.399999999999999</v>
      </c>
      <c r="H307" s="22">
        <v>6.6159999999999997</v>
      </c>
      <c r="I307" s="23">
        <v>8.93</v>
      </c>
      <c r="J307" s="17">
        <v>28.4</v>
      </c>
    </row>
    <row r="308" spans="1:10">
      <c r="A308" s="24">
        <v>3.58</v>
      </c>
      <c r="B308" s="19">
        <v>0.71900000000000008</v>
      </c>
      <c r="C308" s="20">
        <v>2.1800000000000002</v>
      </c>
      <c r="D308" s="17">
        <v>0.47199999999999998</v>
      </c>
      <c r="E308" s="17">
        <v>7</v>
      </c>
      <c r="F308" s="21">
        <v>222</v>
      </c>
      <c r="G308" s="17">
        <v>18.399999999999999</v>
      </c>
      <c r="H308" s="22">
        <v>7.42</v>
      </c>
      <c r="I308" s="23">
        <v>6.47</v>
      </c>
      <c r="J308" s="17">
        <v>33.4</v>
      </c>
    </row>
    <row r="309" spans="1:10">
      <c r="A309" s="24">
        <v>7.98</v>
      </c>
      <c r="B309" s="19">
        <v>0.70299999999999996</v>
      </c>
      <c r="C309" s="20">
        <v>2.1800000000000002</v>
      </c>
      <c r="D309" s="17">
        <v>0.47199999999999998</v>
      </c>
      <c r="E309" s="17">
        <v>7</v>
      </c>
      <c r="F309" s="21">
        <v>222</v>
      </c>
      <c r="G309" s="17">
        <v>18.399999999999999</v>
      </c>
      <c r="H309" s="22">
        <v>6.8490000000000002</v>
      </c>
      <c r="I309" s="23">
        <v>7.53</v>
      </c>
      <c r="J309" s="17">
        <v>28.2</v>
      </c>
    </row>
    <row r="310" spans="1:10">
      <c r="A310" s="24">
        <v>5.79</v>
      </c>
      <c r="B310" s="19">
        <v>0.82500000000000007</v>
      </c>
      <c r="C310" s="20">
        <v>9.9</v>
      </c>
      <c r="D310" s="17">
        <v>0.54400000000000004</v>
      </c>
      <c r="E310" s="17">
        <v>4</v>
      </c>
      <c r="F310" s="21">
        <v>304</v>
      </c>
      <c r="G310" s="17">
        <v>18.399999999999999</v>
      </c>
      <c r="H310" s="22">
        <v>6.6349999999999998</v>
      </c>
      <c r="I310" s="23">
        <v>4.54</v>
      </c>
      <c r="J310" s="17">
        <v>22.8</v>
      </c>
    </row>
    <row r="311" spans="1:10">
      <c r="A311" s="24">
        <v>4.8600000000000003</v>
      </c>
      <c r="B311" s="19">
        <v>0.76700000000000002</v>
      </c>
      <c r="C311" s="20">
        <v>9.9</v>
      </c>
      <c r="D311" s="17">
        <v>0.54400000000000004</v>
      </c>
      <c r="E311" s="17">
        <v>4</v>
      </c>
      <c r="F311" s="21">
        <v>304</v>
      </c>
      <c r="G311" s="17">
        <v>18.399999999999999</v>
      </c>
      <c r="H311" s="22">
        <v>5.9720000000000004</v>
      </c>
      <c r="I311" s="23">
        <v>9.9700000000000006</v>
      </c>
      <c r="J311" s="17">
        <v>20.3</v>
      </c>
    </row>
    <row r="312" spans="1:10">
      <c r="A312" s="24">
        <v>4.6100000000000003</v>
      </c>
      <c r="B312" s="19">
        <v>0.378</v>
      </c>
      <c r="C312" s="20">
        <v>9.9</v>
      </c>
      <c r="D312" s="17">
        <v>0.54400000000000004</v>
      </c>
      <c r="E312" s="17">
        <v>4</v>
      </c>
      <c r="F312" s="21">
        <v>304</v>
      </c>
      <c r="G312" s="17">
        <v>18.399999999999999</v>
      </c>
      <c r="H312" s="22">
        <v>4.9729999999999999</v>
      </c>
      <c r="I312" s="23">
        <v>12.64</v>
      </c>
      <c r="J312" s="17">
        <v>16.100000000000001</v>
      </c>
    </row>
    <row r="313" spans="1:10">
      <c r="A313" s="24">
        <v>1.49</v>
      </c>
      <c r="B313" s="19">
        <v>0.52800000000000002</v>
      </c>
      <c r="C313" s="20">
        <v>9.9</v>
      </c>
      <c r="D313" s="17">
        <v>0.54400000000000004</v>
      </c>
      <c r="E313" s="17">
        <v>4</v>
      </c>
      <c r="F313" s="21">
        <v>304</v>
      </c>
      <c r="G313" s="17">
        <v>18.399999999999999</v>
      </c>
      <c r="H313" s="22">
        <v>6.1219999999999999</v>
      </c>
      <c r="I313" s="23">
        <v>5.98</v>
      </c>
      <c r="J313" s="17">
        <v>22.1</v>
      </c>
    </row>
    <row r="314" spans="1:10">
      <c r="A314" s="24">
        <v>9.4</v>
      </c>
      <c r="B314" s="19">
        <v>0.90400000000000003</v>
      </c>
      <c r="C314" s="20">
        <v>9.9</v>
      </c>
      <c r="D314" s="17">
        <v>0.54400000000000004</v>
      </c>
      <c r="E314" s="17">
        <v>4</v>
      </c>
      <c r="F314" s="21">
        <v>304</v>
      </c>
      <c r="G314" s="17">
        <v>18.399999999999999</v>
      </c>
      <c r="H314" s="22">
        <v>6.0229999999999997</v>
      </c>
      <c r="I314" s="23">
        <v>11.72</v>
      </c>
      <c r="J314" s="17">
        <v>19.399999999999999</v>
      </c>
    </row>
    <row r="315" spans="1:10">
      <c r="A315" s="24">
        <v>6.84</v>
      </c>
      <c r="B315" s="19">
        <v>0.82799999999999996</v>
      </c>
      <c r="C315" s="20">
        <v>9.9</v>
      </c>
      <c r="D315" s="17">
        <v>0.54400000000000004</v>
      </c>
      <c r="E315" s="17">
        <v>4</v>
      </c>
      <c r="F315" s="21">
        <v>304</v>
      </c>
      <c r="G315" s="17">
        <v>18.399999999999999</v>
      </c>
      <c r="H315" s="22">
        <v>6.266</v>
      </c>
      <c r="I315" s="23">
        <v>7.9</v>
      </c>
      <c r="J315" s="17">
        <v>21.6</v>
      </c>
    </row>
    <row r="316" spans="1:10">
      <c r="A316" s="24">
        <v>1.57</v>
      </c>
      <c r="B316" s="19">
        <v>0.873</v>
      </c>
      <c r="C316" s="20">
        <v>9.9</v>
      </c>
      <c r="D316" s="17">
        <v>0.54400000000000004</v>
      </c>
      <c r="E316" s="17">
        <v>4</v>
      </c>
      <c r="F316" s="21">
        <v>304</v>
      </c>
      <c r="G316" s="17">
        <v>18.399999999999999</v>
      </c>
      <c r="H316" s="22">
        <v>6.5670000000000002</v>
      </c>
      <c r="I316" s="23">
        <v>9.2799999999999994</v>
      </c>
      <c r="J316" s="17">
        <v>23.8</v>
      </c>
    </row>
    <row r="317" spans="1:10">
      <c r="A317" s="24">
        <v>0.85</v>
      </c>
      <c r="B317" s="19">
        <v>0.77700000000000002</v>
      </c>
      <c r="C317" s="20">
        <v>9.9</v>
      </c>
      <c r="D317" s="17">
        <v>0.54400000000000004</v>
      </c>
      <c r="E317" s="17">
        <v>4</v>
      </c>
      <c r="F317" s="21">
        <v>304</v>
      </c>
      <c r="G317" s="17">
        <v>18.399999999999999</v>
      </c>
      <c r="H317" s="22">
        <v>5.7050000000000001</v>
      </c>
      <c r="I317" s="23">
        <v>11.5</v>
      </c>
      <c r="J317" s="17">
        <v>16.2</v>
      </c>
    </row>
    <row r="318" spans="1:10">
      <c r="A318" s="24">
        <v>8.91</v>
      </c>
      <c r="B318" s="19">
        <v>0.83200000000000007</v>
      </c>
      <c r="C318" s="20">
        <v>9.9</v>
      </c>
      <c r="D318" s="17">
        <v>0.54400000000000004</v>
      </c>
      <c r="E318" s="17">
        <v>4</v>
      </c>
      <c r="F318" s="21">
        <v>304</v>
      </c>
      <c r="G318" s="17">
        <v>18.399999999999999</v>
      </c>
      <c r="H318" s="22">
        <v>5.9139999999999997</v>
      </c>
      <c r="I318" s="23">
        <v>18.329999999999998</v>
      </c>
      <c r="J318" s="17">
        <v>17.8</v>
      </c>
    </row>
    <row r="319" spans="1:10">
      <c r="A319" s="24">
        <v>5.09</v>
      </c>
      <c r="B319" s="19">
        <v>0.71700000000000008</v>
      </c>
      <c r="C319" s="20">
        <v>9.9</v>
      </c>
      <c r="D319" s="17">
        <v>0.54400000000000004</v>
      </c>
      <c r="E319" s="17">
        <v>4</v>
      </c>
      <c r="F319" s="21">
        <v>304</v>
      </c>
      <c r="G319" s="17">
        <v>18.399999999999999</v>
      </c>
      <c r="H319" s="22">
        <v>5.782</v>
      </c>
      <c r="I319" s="23">
        <v>15.94</v>
      </c>
      <c r="J319" s="17">
        <v>19.8</v>
      </c>
    </row>
    <row r="320" spans="1:10">
      <c r="A320" s="24">
        <v>5.8</v>
      </c>
      <c r="B320" s="19">
        <v>0.67200000000000004</v>
      </c>
      <c r="C320" s="20">
        <v>9.9</v>
      </c>
      <c r="D320" s="17">
        <v>0.54400000000000004</v>
      </c>
      <c r="E320" s="17">
        <v>4</v>
      </c>
      <c r="F320" s="21">
        <v>304</v>
      </c>
      <c r="G320" s="17">
        <v>18.399999999999999</v>
      </c>
      <c r="H320" s="22">
        <v>6.3819999999999997</v>
      </c>
      <c r="I320" s="23">
        <v>10.36</v>
      </c>
      <c r="J320" s="17">
        <v>23.1</v>
      </c>
    </row>
    <row r="321" spans="1:10">
      <c r="A321" s="24">
        <v>4.82</v>
      </c>
      <c r="B321" s="19">
        <v>0.58799999999999997</v>
      </c>
      <c r="C321" s="20">
        <v>9.9</v>
      </c>
      <c r="D321" s="17">
        <v>0.54400000000000004</v>
      </c>
      <c r="E321" s="17">
        <v>4</v>
      </c>
      <c r="F321" s="21">
        <v>304</v>
      </c>
      <c r="G321" s="17">
        <v>18.399999999999999</v>
      </c>
      <c r="H321" s="22">
        <v>6.1130000000000004</v>
      </c>
      <c r="I321" s="23">
        <v>12.73</v>
      </c>
      <c r="J321" s="17">
        <v>21</v>
      </c>
    </row>
    <row r="322" spans="1:10">
      <c r="A322" s="24">
        <v>9.57</v>
      </c>
      <c r="B322" s="19">
        <v>0.52300000000000002</v>
      </c>
      <c r="C322" s="20">
        <v>7.38</v>
      </c>
      <c r="D322" s="17">
        <v>0.49299999999999999</v>
      </c>
      <c r="E322" s="17">
        <v>5</v>
      </c>
      <c r="F322" s="21">
        <v>287</v>
      </c>
      <c r="G322" s="17">
        <v>19.600000000000001</v>
      </c>
      <c r="H322" s="22">
        <v>6.4260000000000002</v>
      </c>
      <c r="I322" s="23">
        <v>7.2</v>
      </c>
      <c r="J322" s="17">
        <v>23.8</v>
      </c>
    </row>
    <row r="323" spans="1:10">
      <c r="A323" s="24">
        <v>8.92</v>
      </c>
      <c r="B323" s="19">
        <v>0.54300000000000004</v>
      </c>
      <c r="C323" s="20">
        <v>7.38</v>
      </c>
      <c r="D323" s="17">
        <v>0.49299999999999999</v>
      </c>
      <c r="E323" s="17">
        <v>5</v>
      </c>
      <c r="F323" s="21">
        <v>287</v>
      </c>
      <c r="G323" s="17">
        <v>19.600000000000001</v>
      </c>
      <c r="H323" s="22">
        <v>6.3760000000000003</v>
      </c>
      <c r="I323" s="23">
        <v>6.87</v>
      </c>
      <c r="J323" s="17">
        <v>23.1</v>
      </c>
    </row>
    <row r="324" spans="1:10">
      <c r="A324" s="24">
        <v>6.4</v>
      </c>
      <c r="B324" s="19">
        <v>0.499</v>
      </c>
      <c r="C324" s="20">
        <v>7.38</v>
      </c>
      <c r="D324" s="17">
        <v>0.49299999999999999</v>
      </c>
      <c r="E324" s="17">
        <v>5</v>
      </c>
      <c r="F324" s="21">
        <v>287</v>
      </c>
      <c r="G324" s="17">
        <v>19.600000000000001</v>
      </c>
      <c r="H324" s="22">
        <v>6.0410000000000004</v>
      </c>
      <c r="I324" s="23">
        <v>7.7</v>
      </c>
      <c r="J324" s="17">
        <v>20.399999999999999</v>
      </c>
    </row>
    <row r="325" spans="1:10">
      <c r="A325" s="24">
        <v>8.9</v>
      </c>
      <c r="B325" s="19">
        <v>0.74299999999999999</v>
      </c>
      <c r="C325" s="20">
        <v>7.38</v>
      </c>
      <c r="D325" s="17">
        <v>0.49299999999999999</v>
      </c>
      <c r="E325" s="17">
        <v>5</v>
      </c>
      <c r="F325" s="21">
        <v>287</v>
      </c>
      <c r="G325" s="17">
        <v>19.600000000000001</v>
      </c>
      <c r="H325" s="22">
        <v>5.7080000000000002</v>
      </c>
      <c r="I325" s="23">
        <v>11.74</v>
      </c>
      <c r="J325" s="17">
        <v>18.5</v>
      </c>
    </row>
    <row r="326" spans="1:10">
      <c r="A326" s="24">
        <v>0.81</v>
      </c>
      <c r="B326" s="19">
        <v>0.40100000000000002</v>
      </c>
      <c r="C326" s="20">
        <v>7.38</v>
      </c>
      <c r="D326" s="17">
        <v>0.49299999999999999</v>
      </c>
      <c r="E326" s="17">
        <v>5</v>
      </c>
      <c r="F326" s="21">
        <v>287</v>
      </c>
      <c r="G326" s="17">
        <v>19.600000000000001</v>
      </c>
      <c r="H326" s="22">
        <v>6.415</v>
      </c>
      <c r="I326" s="23">
        <v>6.12</v>
      </c>
      <c r="J326" s="17">
        <v>25</v>
      </c>
    </row>
    <row r="327" spans="1:10">
      <c r="A327" s="24">
        <v>0.52</v>
      </c>
      <c r="B327" s="19">
        <v>0.14699999999999999</v>
      </c>
      <c r="C327" s="20">
        <v>7.38</v>
      </c>
      <c r="D327" s="17">
        <v>0.49299999999999999</v>
      </c>
      <c r="E327" s="17">
        <v>5</v>
      </c>
      <c r="F327" s="21">
        <v>287</v>
      </c>
      <c r="G327" s="17">
        <v>19.600000000000001</v>
      </c>
      <c r="H327" s="22">
        <v>6.431</v>
      </c>
      <c r="I327" s="23">
        <v>5.08</v>
      </c>
      <c r="J327" s="17">
        <v>24.6</v>
      </c>
    </row>
    <row r="328" spans="1:10">
      <c r="A328" s="24">
        <v>7.76</v>
      </c>
      <c r="B328" s="19">
        <v>0.28899999999999998</v>
      </c>
      <c r="C328" s="20">
        <v>7.38</v>
      </c>
      <c r="D328" s="17">
        <v>0.49299999999999999</v>
      </c>
      <c r="E328" s="17">
        <v>5</v>
      </c>
      <c r="F328" s="21">
        <v>287</v>
      </c>
      <c r="G328" s="17">
        <v>19.600000000000001</v>
      </c>
      <c r="H328" s="22">
        <v>6.3120000000000003</v>
      </c>
      <c r="I328" s="23">
        <v>6.15</v>
      </c>
      <c r="J328" s="17">
        <v>23</v>
      </c>
    </row>
    <row r="329" spans="1:10">
      <c r="A329" s="24">
        <v>0.35</v>
      </c>
      <c r="B329" s="19">
        <v>0.43700000000000006</v>
      </c>
      <c r="C329" s="20">
        <v>7.38</v>
      </c>
      <c r="D329" s="17">
        <v>0.49299999999999999</v>
      </c>
      <c r="E329" s="17">
        <v>5</v>
      </c>
      <c r="F329" s="21">
        <v>287</v>
      </c>
      <c r="G329" s="17">
        <v>19.600000000000001</v>
      </c>
      <c r="H329" s="22">
        <v>6.0830000000000002</v>
      </c>
      <c r="I329" s="23">
        <v>12.79</v>
      </c>
      <c r="J329" s="17">
        <v>22.2</v>
      </c>
    </row>
    <row r="330" spans="1:10">
      <c r="A330" s="24">
        <v>2.16</v>
      </c>
      <c r="B330" s="19">
        <v>0.25800000000000001</v>
      </c>
      <c r="C330" s="20">
        <v>3.24</v>
      </c>
      <c r="D330" s="17">
        <v>0.46</v>
      </c>
      <c r="E330" s="17">
        <v>4</v>
      </c>
      <c r="F330" s="21">
        <v>430</v>
      </c>
      <c r="G330" s="17">
        <v>16.899999999999999</v>
      </c>
      <c r="H330" s="22">
        <v>5.8680000000000003</v>
      </c>
      <c r="I330" s="23">
        <v>9.9700000000000006</v>
      </c>
      <c r="J330" s="17">
        <v>19.3</v>
      </c>
    </row>
    <row r="331" spans="1:10">
      <c r="A331" s="24">
        <v>0.9</v>
      </c>
      <c r="B331" s="19">
        <v>0.17199999999999999</v>
      </c>
      <c r="C331" s="20">
        <v>3.24</v>
      </c>
      <c r="D331" s="17">
        <v>0.46</v>
      </c>
      <c r="E331" s="17">
        <v>4</v>
      </c>
      <c r="F331" s="21">
        <v>430</v>
      </c>
      <c r="G331" s="17">
        <v>16.899999999999999</v>
      </c>
      <c r="H331" s="22">
        <v>6.3330000000000002</v>
      </c>
      <c r="I331" s="23">
        <v>7.34</v>
      </c>
      <c r="J331" s="17">
        <v>22.6</v>
      </c>
    </row>
    <row r="332" spans="1:10">
      <c r="A332" s="24">
        <v>8.65</v>
      </c>
      <c r="B332" s="19">
        <v>0.32200000000000001</v>
      </c>
      <c r="C332" s="20">
        <v>3.24</v>
      </c>
      <c r="D332" s="17">
        <v>0.46</v>
      </c>
      <c r="E332" s="17">
        <v>4</v>
      </c>
      <c r="F332" s="21">
        <v>430</v>
      </c>
      <c r="G332" s="17">
        <v>16.899999999999999</v>
      </c>
      <c r="H332" s="22">
        <v>6.1440000000000001</v>
      </c>
      <c r="I332" s="23">
        <v>9.09</v>
      </c>
      <c r="J332" s="17">
        <v>19.8</v>
      </c>
    </row>
    <row r="333" spans="1:10">
      <c r="A333" s="24">
        <v>4.5</v>
      </c>
      <c r="B333" s="19">
        <v>0.28399999999999997</v>
      </c>
      <c r="C333" s="20">
        <v>6.06</v>
      </c>
      <c r="D333" s="17">
        <v>0.43790000000000001</v>
      </c>
      <c r="E333" s="17">
        <v>1</v>
      </c>
      <c r="F333" s="21">
        <v>304</v>
      </c>
      <c r="G333" s="17">
        <v>16.899999999999999</v>
      </c>
      <c r="H333" s="22">
        <v>5.7060000000000004</v>
      </c>
      <c r="I333" s="23">
        <v>12.43</v>
      </c>
      <c r="J333" s="17">
        <v>17.100000000000001</v>
      </c>
    </row>
    <row r="334" spans="1:10">
      <c r="A334" s="24">
        <v>3.54</v>
      </c>
      <c r="B334" s="19">
        <v>0.23300000000000001</v>
      </c>
      <c r="C334" s="20">
        <v>6.06</v>
      </c>
      <c r="D334" s="17">
        <v>0.43790000000000001</v>
      </c>
      <c r="E334" s="17">
        <v>1</v>
      </c>
      <c r="F334" s="21">
        <v>304</v>
      </c>
      <c r="G334" s="17">
        <v>16.899999999999999</v>
      </c>
      <c r="H334" s="22">
        <v>6.0309999999999997</v>
      </c>
      <c r="I334" s="23">
        <v>7.83</v>
      </c>
      <c r="J334" s="17">
        <v>19.399999999999999</v>
      </c>
    </row>
    <row r="335" spans="1:10">
      <c r="A335" s="24">
        <v>5.53</v>
      </c>
      <c r="B335" s="19">
        <v>0.38100000000000001</v>
      </c>
      <c r="C335" s="20">
        <v>5.19</v>
      </c>
      <c r="D335" s="17">
        <v>0.51500000000000001</v>
      </c>
      <c r="E335" s="17">
        <v>5</v>
      </c>
      <c r="F335" s="21">
        <v>224</v>
      </c>
      <c r="G335" s="17">
        <v>20.2</v>
      </c>
      <c r="H335" s="22">
        <v>6.3159999999999998</v>
      </c>
      <c r="I335" s="23">
        <v>5.68</v>
      </c>
      <c r="J335" s="17">
        <v>22.2</v>
      </c>
    </row>
    <row r="336" spans="1:10">
      <c r="A336" s="24">
        <v>3.59</v>
      </c>
      <c r="B336" s="19">
        <v>0.38500000000000001</v>
      </c>
      <c r="C336" s="20">
        <v>5.19</v>
      </c>
      <c r="D336" s="17">
        <v>0.51500000000000001</v>
      </c>
      <c r="E336" s="17">
        <v>5</v>
      </c>
      <c r="F336" s="21">
        <v>224</v>
      </c>
      <c r="G336" s="17">
        <v>20.2</v>
      </c>
      <c r="H336" s="22">
        <v>6.31</v>
      </c>
      <c r="I336" s="23">
        <v>6.75</v>
      </c>
      <c r="J336" s="17">
        <v>20.7</v>
      </c>
    </row>
    <row r="337" spans="1:10">
      <c r="A337" s="24">
        <v>1.19</v>
      </c>
      <c r="B337" s="19">
        <v>0.34500000000000003</v>
      </c>
      <c r="C337" s="20">
        <v>5.19</v>
      </c>
      <c r="D337" s="17">
        <v>0.51500000000000001</v>
      </c>
      <c r="E337" s="17">
        <v>5</v>
      </c>
      <c r="F337" s="21">
        <v>224</v>
      </c>
      <c r="G337" s="17">
        <v>20.2</v>
      </c>
      <c r="H337" s="22">
        <v>6.0369999999999999</v>
      </c>
      <c r="I337" s="23">
        <v>8.01</v>
      </c>
      <c r="J337" s="17">
        <v>21.1</v>
      </c>
    </row>
    <row r="338" spans="1:10">
      <c r="A338" s="24">
        <v>4.78</v>
      </c>
      <c r="B338" s="19">
        <v>0.46299999999999997</v>
      </c>
      <c r="C338" s="20">
        <v>5.19</v>
      </c>
      <c r="D338" s="17">
        <v>0.51500000000000001</v>
      </c>
      <c r="E338" s="17">
        <v>5</v>
      </c>
      <c r="F338" s="21">
        <v>224</v>
      </c>
      <c r="G338" s="17">
        <v>20.2</v>
      </c>
      <c r="H338" s="22">
        <v>5.8689999999999998</v>
      </c>
      <c r="I338" s="23">
        <v>9.8000000000000007</v>
      </c>
      <c r="J338" s="17">
        <v>19.5</v>
      </c>
    </row>
    <row r="339" spans="1:10">
      <c r="A339" s="24">
        <v>5.18</v>
      </c>
      <c r="B339" s="19">
        <v>0.59599999999999997</v>
      </c>
      <c r="C339" s="20">
        <v>5.19</v>
      </c>
      <c r="D339" s="17">
        <v>0.51500000000000001</v>
      </c>
      <c r="E339" s="17">
        <v>5</v>
      </c>
      <c r="F339" s="21">
        <v>224</v>
      </c>
      <c r="G339" s="17">
        <v>20.2</v>
      </c>
      <c r="H339" s="22">
        <v>5.8949999999999996</v>
      </c>
      <c r="I339" s="23">
        <v>10.56</v>
      </c>
      <c r="J339" s="17">
        <v>18.5</v>
      </c>
    </row>
    <row r="340" spans="1:10">
      <c r="A340" s="24">
        <v>0.73</v>
      </c>
      <c r="B340" s="19">
        <v>0.373</v>
      </c>
      <c r="C340" s="20">
        <v>5.19</v>
      </c>
      <c r="D340" s="17">
        <v>0.51500000000000001</v>
      </c>
      <c r="E340" s="17">
        <v>5</v>
      </c>
      <c r="F340" s="21">
        <v>224</v>
      </c>
      <c r="G340" s="17">
        <v>20.2</v>
      </c>
      <c r="H340" s="22">
        <v>6.0590000000000002</v>
      </c>
      <c r="I340" s="23">
        <v>8.51</v>
      </c>
      <c r="J340" s="17">
        <v>20.6</v>
      </c>
    </row>
    <row r="341" spans="1:10">
      <c r="A341" s="24">
        <v>2.17</v>
      </c>
      <c r="B341" s="19">
        <v>0.45400000000000001</v>
      </c>
      <c r="C341" s="20">
        <v>5.19</v>
      </c>
      <c r="D341" s="17">
        <v>0.51500000000000001</v>
      </c>
      <c r="E341" s="17">
        <v>5</v>
      </c>
      <c r="F341" s="21">
        <v>224</v>
      </c>
      <c r="G341" s="17">
        <v>20.2</v>
      </c>
      <c r="H341" s="22">
        <v>5.9850000000000003</v>
      </c>
      <c r="I341" s="23">
        <v>9.74</v>
      </c>
      <c r="J341" s="17">
        <v>19</v>
      </c>
    </row>
    <row r="342" spans="1:10">
      <c r="A342" s="24">
        <v>2.2999999999999998</v>
      </c>
      <c r="B342" s="19">
        <v>0.58499999999999996</v>
      </c>
      <c r="C342" s="20">
        <v>5.19</v>
      </c>
      <c r="D342" s="17">
        <v>0.51500000000000001</v>
      </c>
      <c r="E342" s="17">
        <v>5</v>
      </c>
      <c r="F342" s="21">
        <v>224</v>
      </c>
      <c r="G342" s="17">
        <v>20.2</v>
      </c>
      <c r="H342" s="22">
        <v>5.968</v>
      </c>
      <c r="I342" s="23">
        <v>9.2899999999999991</v>
      </c>
      <c r="J342" s="17">
        <v>18.7</v>
      </c>
    </row>
    <row r="343" spans="1:10">
      <c r="A343" s="24">
        <v>7.62</v>
      </c>
      <c r="B343" s="19">
        <v>0.49299999999999999</v>
      </c>
      <c r="C343" s="20">
        <v>1.52</v>
      </c>
      <c r="D343" s="17">
        <v>0.442</v>
      </c>
      <c r="E343" s="17">
        <v>1</v>
      </c>
      <c r="F343" s="21">
        <v>284</v>
      </c>
      <c r="G343" s="17">
        <v>15.5</v>
      </c>
      <c r="H343" s="22">
        <v>7.2409999999999997</v>
      </c>
      <c r="I343" s="23">
        <v>5.49</v>
      </c>
      <c r="J343" s="17">
        <v>32.700000000000003</v>
      </c>
    </row>
    <row r="344" spans="1:10">
      <c r="A344" s="24">
        <v>4.04</v>
      </c>
      <c r="B344" s="19">
        <v>0.59700000000000009</v>
      </c>
      <c r="C344" s="20">
        <v>1.89</v>
      </c>
      <c r="D344" s="17">
        <v>0.51800000000000002</v>
      </c>
      <c r="E344" s="17">
        <v>1</v>
      </c>
      <c r="F344" s="21">
        <v>422</v>
      </c>
      <c r="G344" s="17">
        <v>15.9</v>
      </c>
      <c r="H344" s="22">
        <v>6.54</v>
      </c>
      <c r="I344" s="23">
        <v>8.65</v>
      </c>
      <c r="J344" s="17">
        <v>16.5</v>
      </c>
    </row>
    <row r="345" spans="1:10">
      <c r="A345" s="24">
        <v>8.49</v>
      </c>
      <c r="B345" s="19">
        <v>0.56399999999999995</v>
      </c>
      <c r="C345" s="20">
        <v>3.78</v>
      </c>
      <c r="D345" s="17">
        <v>0.48399999999999999</v>
      </c>
      <c r="E345" s="17">
        <v>5</v>
      </c>
      <c r="F345" s="21">
        <v>370</v>
      </c>
      <c r="G345" s="17">
        <v>17.600000000000001</v>
      </c>
      <c r="H345" s="22">
        <v>6.6959999999999997</v>
      </c>
      <c r="I345" s="23">
        <v>7.18</v>
      </c>
      <c r="J345" s="17">
        <v>23.9</v>
      </c>
    </row>
    <row r="346" spans="1:10">
      <c r="A346" s="24">
        <v>8.07</v>
      </c>
      <c r="B346" s="19">
        <v>0.28100000000000003</v>
      </c>
      <c r="C346" s="20">
        <v>3.78</v>
      </c>
      <c r="D346" s="17">
        <v>0.48399999999999999</v>
      </c>
      <c r="E346" s="17">
        <v>5</v>
      </c>
      <c r="F346" s="21">
        <v>370</v>
      </c>
      <c r="G346" s="17">
        <v>17.600000000000001</v>
      </c>
      <c r="H346" s="22">
        <v>6.8739999999999997</v>
      </c>
      <c r="I346" s="23">
        <v>4.6100000000000003</v>
      </c>
      <c r="J346" s="17">
        <v>31.2</v>
      </c>
    </row>
    <row r="347" spans="1:10">
      <c r="A347" s="24">
        <v>2.39</v>
      </c>
      <c r="B347" s="19">
        <v>0.48499999999999999</v>
      </c>
      <c r="C347" s="20">
        <v>4.3899999999999997</v>
      </c>
      <c r="D347" s="17">
        <v>0.442</v>
      </c>
      <c r="E347" s="17">
        <v>3</v>
      </c>
      <c r="F347" s="21">
        <v>352</v>
      </c>
      <c r="G347" s="17">
        <v>18.8</v>
      </c>
      <c r="H347" s="22">
        <v>6.0140000000000002</v>
      </c>
      <c r="I347" s="23">
        <v>10.53</v>
      </c>
      <c r="J347" s="17">
        <v>17.5</v>
      </c>
    </row>
    <row r="348" spans="1:10">
      <c r="A348" s="24">
        <v>0.72</v>
      </c>
      <c r="B348" s="19">
        <v>0.52300000000000002</v>
      </c>
      <c r="C348" s="20">
        <v>4.3899999999999997</v>
      </c>
      <c r="D348" s="17">
        <v>0.442</v>
      </c>
      <c r="E348" s="17">
        <v>3</v>
      </c>
      <c r="F348" s="21">
        <v>352</v>
      </c>
      <c r="G348" s="17">
        <v>18.8</v>
      </c>
      <c r="H348" s="22">
        <v>5.8979999999999997</v>
      </c>
      <c r="I348" s="23">
        <v>12.67</v>
      </c>
      <c r="J348" s="17">
        <v>17.2</v>
      </c>
    </row>
    <row r="349" spans="1:10">
      <c r="A349" s="24">
        <v>1.27</v>
      </c>
      <c r="B349" s="19">
        <v>0.27700000000000002</v>
      </c>
      <c r="C349" s="20">
        <v>4.1500000000000004</v>
      </c>
      <c r="D349" s="17">
        <v>0.42899999999999999</v>
      </c>
      <c r="E349" s="17">
        <v>4</v>
      </c>
      <c r="F349" s="21">
        <v>351</v>
      </c>
      <c r="G349" s="17">
        <v>17.899999999999999</v>
      </c>
      <c r="H349" s="22">
        <v>6.516</v>
      </c>
      <c r="I349" s="23">
        <v>6.36</v>
      </c>
      <c r="J349" s="17">
        <v>23.1</v>
      </c>
    </row>
    <row r="350" spans="1:10">
      <c r="A350" s="24">
        <v>2.69</v>
      </c>
      <c r="B350" s="19">
        <v>0.29699999999999999</v>
      </c>
      <c r="C350" s="20">
        <v>2.0099999999999998</v>
      </c>
      <c r="D350" s="17">
        <v>0.435</v>
      </c>
      <c r="E350" s="17">
        <v>4</v>
      </c>
      <c r="F350" s="21">
        <v>280</v>
      </c>
      <c r="G350" s="17">
        <v>17</v>
      </c>
      <c r="H350" s="22">
        <v>6.6349999999999998</v>
      </c>
      <c r="I350" s="23">
        <v>5.99</v>
      </c>
      <c r="J350" s="17">
        <v>24.5</v>
      </c>
    </row>
    <row r="351" spans="1:10">
      <c r="A351" s="24">
        <v>7.44</v>
      </c>
      <c r="B351" s="19">
        <v>0.34500000000000003</v>
      </c>
      <c r="C351" s="20">
        <v>1.25</v>
      </c>
      <c r="D351" s="17">
        <v>0.42899999999999999</v>
      </c>
      <c r="E351" s="17">
        <v>1</v>
      </c>
      <c r="F351" s="21">
        <v>335</v>
      </c>
      <c r="G351" s="17">
        <v>19.7</v>
      </c>
      <c r="H351" s="22">
        <v>6.9390000000000001</v>
      </c>
      <c r="I351" s="23">
        <v>5.89</v>
      </c>
      <c r="J351" s="17">
        <v>26.6</v>
      </c>
    </row>
    <row r="352" spans="1:10">
      <c r="A352" s="24">
        <v>6.84</v>
      </c>
      <c r="B352" s="19">
        <v>0.44400000000000001</v>
      </c>
      <c r="C352" s="20">
        <v>1.25</v>
      </c>
      <c r="D352" s="17">
        <v>0.42899999999999999</v>
      </c>
      <c r="E352" s="17">
        <v>1</v>
      </c>
      <c r="F352" s="21">
        <v>335</v>
      </c>
      <c r="G352" s="17">
        <v>19.7</v>
      </c>
      <c r="H352" s="22">
        <v>6.49</v>
      </c>
      <c r="I352" s="23">
        <v>5.98</v>
      </c>
      <c r="J352" s="17">
        <v>22.9</v>
      </c>
    </row>
    <row r="353" spans="1:10">
      <c r="A353" s="24">
        <v>6.61</v>
      </c>
      <c r="B353" s="19">
        <v>0.35899999999999999</v>
      </c>
      <c r="C353" s="20">
        <v>1.69</v>
      </c>
      <c r="D353" s="17">
        <v>0.41099999999999998</v>
      </c>
      <c r="E353" s="17">
        <v>4</v>
      </c>
      <c r="F353" s="21">
        <v>411</v>
      </c>
      <c r="G353" s="17">
        <v>18.3</v>
      </c>
      <c r="H353" s="22">
        <v>6.5789999999999997</v>
      </c>
      <c r="I353" s="23">
        <v>5.49</v>
      </c>
      <c r="J353" s="17">
        <v>24.1</v>
      </c>
    </row>
    <row r="354" spans="1:10">
      <c r="A354" s="24">
        <v>1.27</v>
      </c>
      <c r="B354" s="19">
        <v>0.185</v>
      </c>
      <c r="C354" s="20">
        <v>1.69</v>
      </c>
      <c r="D354" s="17">
        <v>0.41099999999999998</v>
      </c>
      <c r="E354" s="17">
        <v>4</v>
      </c>
      <c r="F354" s="21">
        <v>411</v>
      </c>
      <c r="G354" s="17">
        <v>18.3</v>
      </c>
      <c r="H354" s="22">
        <v>5.8840000000000003</v>
      </c>
      <c r="I354" s="23">
        <v>7.79</v>
      </c>
      <c r="J354" s="17">
        <v>18.600000000000001</v>
      </c>
    </row>
    <row r="355" spans="1:10">
      <c r="A355" s="24">
        <v>9.1</v>
      </c>
      <c r="B355" s="19">
        <v>0.36100000000000004</v>
      </c>
      <c r="C355" s="20">
        <v>2.02</v>
      </c>
      <c r="D355" s="17">
        <v>0.41</v>
      </c>
      <c r="E355" s="17">
        <v>5</v>
      </c>
      <c r="F355" s="21">
        <v>187</v>
      </c>
      <c r="G355" s="17">
        <v>17</v>
      </c>
      <c r="H355" s="22">
        <v>6.7279999999999998</v>
      </c>
      <c r="I355" s="23">
        <v>4.5</v>
      </c>
      <c r="J355" s="17">
        <v>30.1</v>
      </c>
    </row>
    <row r="356" spans="1:10">
      <c r="A356" s="24">
        <v>1.05</v>
      </c>
      <c r="B356" s="19">
        <v>0.219</v>
      </c>
      <c r="C356" s="20">
        <v>1.91</v>
      </c>
      <c r="D356" s="17">
        <v>0.41299999999999998</v>
      </c>
      <c r="E356" s="17">
        <v>4</v>
      </c>
      <c r="F356" s="21">
        <v>334</v>
      </c>
      <c r="G356" s="17">
        <v>22</v>
      </c>
      <c r="H356" s="22">
        <v>5.6630000000000003</v>
      </c>
      <c r="I356" s="23">
        <v>8.0500000000000007</v>
      </c>
      <c r="J356" s="17">
        <v>18.2</v>
      </c>
    </row>
    <row r="357" spans="1:10">
      <c r="A357" s="24">
        <v>8.43</v>
      </c>
      <c r="B357" s="19">
        <v>0.19500000000000001</v>
      </c>
      <c r="C357" s="20">
        <v>1.91</v>
      </c>
      <c r="D357" s="17">
        <v>0.41299999999999998</v>
      </c>
      <c r="E357" s="17">
        <v>4</v>
      </c>
      <c r="F357" s="21">
        <v>334</v>
      </c>
      <c r="G357" s="17">
        <v>22</v>
      </c>
      <c r="H357" s="22">
        <v>5.9359999999999999</v>
      </c>
      <c r="I357" s="23">
        <v>5.57</v>
      </c>
      <c r="J357" s="17">
        <v>20.6</v>
      </c>
    </row>
    <row r="358" spans="1:10">
      <c r="A358" s="24">
        <v>0.96</v>
      </c>
      <c r="B358" s="19">
        <v>0.97400000000000009</v>
      </c>
      <c r="C358" s="20">
        <v>18.100000000000001</v>
      </c>
      <c r="D358" s="17">
        <v>0.77</v>
      </c>
      <c r="E358" s="17">
        <v>24</v>
      </c>
      <c r="F358" s="21">
        <v>666</v>
      </c>
      <c r="G358" s="17">
        <v>20.2</v>
      </c>
      <c r="H358" s="22">
        <v>6.2119999999999997</v>
      </c>
      <c r="I358" s="23">
        <v>17.600000000000001</v>
      </c>
      <c r="J358" s="17">
        <v>17.8</v>
      </c>
    </row>
    <row r="359" spans="1:10">
      <c r="A359" s="24">
        <v>4.29</v>
      </c>
      <c r="B359" s="19">
        <v>0.91</v>
      </c>
      <c r="C359" s="20">
        <v>18.100000000000001</v>
      </c>
      <c r="D359" s="17">
        <v>0.77</v>
      </c>
      <c r="E359" s="17">
        <v>24</v>
      </c>
      <c r="F359" s="21">
        <v>666</v>
      </c>
      <c r="G359" s="17">
        <v>20.2</v>
      </c>
      <c r="H359" s="22">
        <v>6.3949999999999996</v>
      </c>
      <c r="I359" s="23">
        <v>13.27</v>
      </c>
      <c r="J359" s="17">
        <v>21.7</v>
      </c>
    </row>
    <row r="360" spans="1:10">
      <c r="A360" s="24">
        <v>0.38</v>
      </c>
      <c r="B360" s="19">
        <v>0.83400000000000007</v>
      </c>
      <c r="C360" s="20">
        <v>18.100000000000001</v>
      </c>
      <c r="D360" s="17">
        <v>0.77</v>
      </c>
      <c r="E360" s="17">
        <v>24</v>
      </c>
      <c r="F360" s="21">
        <v>666</v>
      </c>
      <c r="G360" s="17">
        <v>20.2</v>
      </c>
      <c r="H360" s="22">
        <v>6.1269999999999998</v>
      </c>
      <c r="I360" s="23">
        <v>11.48</v>
      </c>
      <c r="J360" s="17">
        <v>22.7</v>
      </c>
    </row>
    <row r="361" spans="1:10">
      <c r="A361" s="24">
        <v>7.28</v>
      </c>
      <c r="B361" s="19">
        <v>0.81299999999999994</v>
      </c>
      <c r="C361" s="20">
        <v>18.100000000000001</v>
      </c>
      <c r="D361" s="17">
        <v>0.77</v>
      </c>
      <c r="E361" s="17">
        <v>24</v>
      </c>
      <c r="F361" s="21">
        <v>666</v>
      </c>
      <c r="G361" s="17">
        <v>20.2</v>
      </c>
      <c r="H361" s="22">
        <v>6.1120000000000001</v>
      </c>
      <c r="I361" s="23">
        <v>12.67</v>
      </c>
      <c r="J361" s="17">
        <v>22.6</v>
      </c>
    </row>
    <row r="362" spans="1:10">
      <c r="A362" s="24">
        <v>4.51</v>
      </c>
      <c r="B362" s="19">
        <v>0.88</v>
      </c>
      <c r="C362" s="20">
        <v>18.100000000000001</v>
      </c>
      <c r="D362" s="17">
        <v>0.77</v>
      </c>
      <c r="E362" s="17">
        <v>24</v>
      </c>
      <c r="F362" s="21">
        <v>666</v>
      </c>
      <c r="G362" s="17">
        <v>20.2</v>
      </c>
      <c r="H362" s="22">
        <v>6.3979999999999997</v>
      </c>
      <c r="I362" s="23">
        <v>7.79</v>
      </c>
      <c r="J362" s="17">
        <v>25</v>
      </c>
    </row>
    <row r="363" spans="1:10">
      <c r="A363" s="24">
        <v>9.43</v>
      </c>
      <c r="B363" s="19">
        <v>0.91099999999999992</v>
      </c>
      <c r="C363" s="20">
        <v>18.100000000000001</v>
      </c>
      <c r="D363" s="17">
        <v>0.77</v>
      </c>
      <c r="E363" s="17">
        <v>24</v>
      </c>
      <c r="F363" s="21">
        <v>666</v>
      </c>
      <c r="G363" s="17">
        <v>20.2</v>
      </c>
      <c r="H363" s="22">
        <v>6.2510000000000003</v>
      </c>
      <c r="I363" s="23">
        <v>14.19</v>
      </c>
      <c r="J363" s="17">
        <v>19.899999999999999</v>
      </c>
    </row>
    <row r="364" spans="1:10">
      <c r="A364" s="24">
        <v>6.12</v>
      </c>
      <c r="B364" s="19">
        <v>0.96200000000000008</v>
      </c>
      <c r="C364" s="20">
        <v>18.100000000000001</v>
      </c>
      <c r="D364" s="17">
        <v>0.77</v>
      </c>
      <c r="E364" s="17">
        <v>24</v>
      </c>
      <c r="F364" s="21">
        <v>666</v>
      </c>
      <c r="G364" s="17">
        <v>20.2</v>
      </c>
      <c r="H364" s="22">
        <v>5.3620000000000001</v>
      </c>
      <c r="I364" s="23">
        <v>10.19</v>
      </c>
      <c r="J364" s="17">
        <v>20.8</v>
      </c>
    </row>
    <row r="365" spans="1:10">
      <c r="A365" s="24">
        <v>6.76</v>
      </c>
      <c r="B365" s="19">
        <v>0.89</v>
      </c>
      <c r="C365" s="20">
        <v>18.100000000000001</v>
      </c>
      <c r="D365" s="17">
        <v>0.77</v>
      </c>
      <c r="E365" s="17">
        <v>24</v>
      </c>
      <c r="F365" s="21">
        <v>666</v>
      </c>
      <c r="G365" s="17">
        <v>20.2</v>
      </c>
      <c r="H365" s="22">
        <v>5.8029999999999999</v>
      </c>
      <c r="I365" s="23">
        <v>14.64</v>
      </c>
      <c r="J365" s="17">
        <v>16.8</v>
      </c>
    </row>
    <row r="366" spans="1:10">
      <c r="A366" s="24">
        <v>9.99</v>
      </c>
      <c r="B366" s="19">
        <v>0.82900000000000007</v>
      </c>
      <c r="C366" s="20">
        <v>18.100000000000001</v>
      </c>
      <c r="D366" s="17">
        <v>0.71799999999999997</v>
      </c>
      <c r="E366" s="17">
        <v>24</v>
      </c>
      <c r="F366" s="21">
        <v>666</v>
      </c>
      <c r="G366" s="17">
        <v>20.2</v>
      </c>
      <c r="H366" s="22">
        <v>8.7799999999999994</v>
      </c>
      <c r="I366" s="23">
        <v>5.29</v>
      </c>
      <c r="J366" s="17">
        <v>21.9</v>
      </c>
    </row>
    <row r="367" spans="1:10">
      <c r="A367" s="24">
        <v>9.59</v>
      </c>
      <c r="B367" s="19">
        <v>0.87900000000000011</v>
      </c>
      <c r="C367" s="20">
        <v>18.100000000000001</v>
      </c>
      <c r="D367" s="17">
        <v>0.71799999999999997</v>
      </c>
      <c r="E367" s="17">
        <v>24</v>
      </c>
      <c r="F367" s="21">
        <v>666</v>
      </c>
      <c r="G367" s="17">
        <v>20.2</v>
      </c>
      <c r="H367" s="22">
        <v>3.5609999999999999</v>
      </c>
      <c r="I367" s="23">
        <v>7.12</v>
      </c>
      <c r="J367" s="17">
        <v>27.5</v>
      </c>
    </row>
    <row r="368" spans="1:10">
      <c r="A368" s="24">
        <v>5.5</v>
      </c>
      <c r="B368" s="19">
        <v>0.91400000000000003</v>
      </c>
      <c r="C368" s="20">
        <v>18.100000000000001</v>
      </c>
      <c r="D368" s="17">
        <v>0.71799999999999997</v>
      </c>
      <c r="E368" s="17">
        <v>24</v>
      </c>
      <c r="F368" s="21">
        <v>666</v>
      </c>
      <c r="G368" s="17">
        <v>20.2</v>
      </c>
      <c r="H368" s="22">
        <v>4.9630000000000001</v>
      </c>
      <c r="I368" s="23">
        <v>14</v>
      </c>
      <c r="J368" s="17">
        <v>21.9</v>
      </c>
    </row>
    <row r="369" spans="1:10">
      <c r="A369" s="24">
        <v>4.24</v>
      </c>
      <c r="B369" s="19">
        <v>1</v>
      </c>
      <c r="C369" s="20">
        <v>18.100000000000001</v>
      </c>
      <c r="D369" s="17">
        <v>0.63100000000000001</v>
      </c>
      <c r="E369" s="17">
        <v>24</v>
      </c>
      <c r="F369" s="21">
        <v>666</v>
      </c>
      <c r="G369" s="17">
        <v>20.2</v>
      </c>
      <c r="H369" s="22">
        <v>3.863</v>
      </c>
      <c r="I369" s="23">
        <v>13.33</v>
      </c>
      <c r="J369" s="17">
        <v>23.1</v>
      </c>
    </row>
    <row r="370" spans="1:10">
      <c r="A370" s="24">
        <v>7.25</v>
      </c>
      <c r="B370" s="19">
        <v>1</v>
      </c>
      <c r="C370" s="20">
        <v>18.100000000000001</v>
      </c>
      <c r="D370" s="17">
        <v>0.63100000000000001</v>
      </c>
      <c r="E370" s="17">
        <v>24</v>
      </c>
      <c r="F370" s="21">
        <v>666</v>
      </c>
      <c r="G370" s="17">
        <v>20.2</v>
      </c>
      <c r="H370" s="22">
        <v>4.97</v>
      </c>
      <c r="I370" s="23">
        <v>3.26</v>
      </c>
      <c r="J370" s="17">
        <v>50</v>
      </c>
    </row>
    <row r="371" spans="1:10">
      <c r="A371" s="24">
        <v>5.32</v>
      </c>
      <c r="B371" s="19">
        <v>0.96799999999999997</v>
      </c>
      <c r="C371" s="20">
        <v>18.100000000000001</v>
      </c>
      <c r="D371" s="17">
        <v>0.63100000000000001</v>
      </c>
      <c r="E371" s="17">
        <v>24</v>
      </c>
      <c r="F371" s="21">
        <v>666</v>
      </c>
      <c r="G371" s="17">
        <v>20.2</v>
      </c>
      <c r="H371" s="22">
        <v>6.6829999999999998</v>
      </c>
      <c r="I371" s="23">
        <v>3.73</v>
      </c>
      <c r="J371" s="17">
        <v>50</v>
      </c>
    </row>
    <row r="372" spans="1:10">
      <c r="A372" s="24">
        <v>7.39</v>
      </c>
      <c r="B372" s="19">
        <v>0.97499999999999998</v>
      </c>
      <c r="C372" s="20">
        <v>18.100000000000001</v>
      </c>
      <c r="D372" s="17">
        <v>0.63100000000000001</v>
      </c>
      <c r="E372" s="17">
        <v>24</v>
      </c>
      <c r="F372" s="21">
        <v>666</v>
      </c>
      <c r="G372" s="17">
        <v>20.2</v>
      </c>
      <c r="H372" s="22">
        <v>7.016</v>
      </c>
      <c r="I372" s="23">
        <v>2.96</v>
      </c>
      <c r="J372" s="17">
        <v>50</v>
      </c>
    </row>
    <row r="373" spans="1:10">
      <c r="A373" s="24">
        <v>3.84</v>
      </c>
      <c r="B373" s="19">
        <v>1</v>
      </c>
      <c r="C373" s="20">
        <v>18.100000000000001</v>
      </c>
      <c r="D373" s="17">
        <v>0.63100000000000001</v>
      </c>
      <c r="E373" s="17">
        <v>24</v>
      </c>
      <c r="F373" s="21">
        <v>666</v>
      </c>
      <c r="G373" s="17">
        <v>20.2</v>
      </c>
      <c r="H373" s="22">
        <v>6.2160000000000002</v>
      </c>
      <c r="I373" s="23">
        <v>9.5299999999999994</v>
      </c>
      <c r="J373" s="17">
        <v>50</v>
      </c>
    </row>
    <row r="374" spans="1:10">
      <c r="A374" s="24">
        <v>1.55</v>
      </c>
      <c r="B374" s="19">
        <v>0.89599999999999991</v>
      </c>
      <c r="C374" s="20">
        <v>18.100000000000001</v>
      </c>
      <c r="D374" s="17">
        <v>0.66800000000000004</v>
      </c>
      <c r="E374" s="17">
        <v>24</v>
      </c>
      <c r="F374" s="21">
        <v>666</v>
      </c>
      <c r="G374" s="17">
        <v>20.2</v>
      </c>
      <c r="H374" s="22">
        <v>5.875</v>
      </c>
      <c r="I374" s="23">
        <v>8.8800000000000008</v>
      </c>
      <c r="J374" s="17">
        <v>50</v>
      </c>
    </row>
    <row r="375" spans="1:10">
      <c r="A375" s="24">
        <v>5.96</v>
      </c>
      <c r="B375" s="19">
        <v>1</v>
      </c>
      <c r="C375" s="20">
        <v>18.100000000000001</v>
      </c>
      <c r="D375" s="17">
        <v>0.66800000000000004</v>
      </c>
      <c r="E375" s="17">
        <v>24</v>
      </c>
      <c r="F375" s="21">
        <v>666</v>
      </c>
      <c r="G375" s="17">
        <v>20.2</v>
      </c>
      <c r="H375" s="22">
        <v>4.9059999999999997</v>
      </c>
      <c r="I375" s="23">
        <v>34.770000000000003</v>
      </c>
      <c r="J375" s="17">
        <v>13.8</v>
      </c>
    </row>
    <row r="376" spans="1:10">
      <c r="A376" s="24">
        <v>0.71</v>
      </c>
      <c r="B376" s="19">
        <v>1</v>
      </c>
      <c r="C376" s="20">
        <v>18.100000000000001</v>
      </c>
      <c r="D376" s="17">
        <v>0.66800000000000004</v>
      </c>
      <c r="E376" s="17">
        <v>24</v>
      </c>
      <c r="F376" s="21">
        <v>666</v>
      </c>
      <c r="G376" s="17">
        <v>20.2</v>
      </c>
      <c r="H376" s="22">
        <v>4.1379999999999999</v>
      </c>
      <c r="I376" s="23">
        <v>37.97</v>
      </c>
      <c r="J376" s="17">
        <v>13.8</v>
      </c>
    </row>
    <row r="377" spans="1:10">
      <c r="A377" s="24">
        <v>3.12</v>
      </c>
      <c r="B377" s="19">
        <v>0.97900000000000009</v>
      </c>
      <c r="C377" s="20">
        <v>18.100000000000001</v>
      </c>
      <c r="D377" s="17">
        <v>0.67100000000000004</v>
      </c>
      <c r="E377" s="17">
        <v>24</v>
      </c>
      <c r="F377" s="21">
        <v>666</v>
      </c>
      <c r="G377" s="17">
        <v>20.2</v>
      </c>
      <c r="H377" s="22">
        <v>7.3129999999999997</v>
      </c>
      <c r="I377" s="23">
        <v>13.44</v>
      </c>
      <c r="J377" s="17">
        <v>15</v>
      </c>
    </row>
    <row r="378" spans="1:10">
      <c r="A378" s="24">
        <v>5.89</v>
      </c>
      <c r="B378" s="19">
        <v>0.93299999999999994</v>
      </c>
      <c r="C378" s="20">
        <v>18.100000000000001</v>
      </c>
      <c r="D378" s="17">
        <v>0.67100000000000004</v>
      </c>
      <c r="E378" s="17">
        <v>24</v>
      </c>
      <c r="F378" s="21">
        <v>666</v>
      </c>
      <c r="G378" s="17">
        <v>20.2</v>
      </c>
      <c r="H378" s="22">
        <v>6.649</v>
      </c>
      <c r="I378" s="23">
        <v>23.24</v>
      </c>
      <c r="J378" s="17">
        <v>13.9</v>
      </c>
    </row>
    <row r="379" spans="1:10">
      <c r="A379" s="24">
        <v>3.08</v>
      </c>
      <c r="B379" s="19">
        <v>0.98799999999999999</v>
      </c>
      <c r="C379" s="20">
        <v>18.100000000000001</v>
      </c>
      <c r="D379" s="17">
        <v>0.67100000000000004</v>
      </c>
      <c r="E379" s="17">
        <v>24</v>
      </c>
      <c r="F379" s="21">
        <v>666</v>
      </c>
      <c r="G379" s="17">
        <v>20.2</v>
      </c>
      <c r="H379" s="22">
        <v>6.7939999999999996</v>
      </c>
      <c r="I379" s="23">
        <v>21.24</v>
      </c>
      <c r="J379" s="17">
        <v>13.3</v>
      </c>
    </row>
    <row r="380" spans="1:10">
      <c r="A380" s="24">
        <v>2.82</v>
      </c>
      <c r="B380" s="19">
        <v>0.96200000000000008</v>
      </c>
      <c r="C380" s="20">
        <v>18.100000000000001</v>
      </c>
      <c r="D380" s="17">
        <v>0.67100000000000004</v>
      </c>
      <c r="E380" s="17">
        <v>24</v>
      </c>
      <c r="F380" s="21">
        <v>666</v>
      </c>
      <c r="G380" s="17">
        <v>20.2</v>
      </c>
      <c r="H380" s="22">
        <v>6.38</v>
      </c>
      <c r="I380" s="23">
        <v>23.69</v>
      </c>
      <c r="J380" s="17">
        <v>13.1</v>
      </c>
    </row>
    <row r="381" spans="1:10">
      <c r="A381" s="24">
        <v>9.75</v>
      </c>
      <c r="B381" s="19">
        <v>1</v>
      </c>
      <c r="C381" s="20">
        <v>18.100000000000001</v>
      </c>
      <c r="D381" s="17">
        <v>0.67100000000000004</v>
      </c>
      <c r="E381" s="17">
        <v>24</v>
      </c>
      <c r="F381" s="21">
        <v>666</v>
      </c>
      <c r="G381" s="17">
        <v>20.2</v>
      </c>
      <c r="H381" s="22">
        <v>6.2229999999999999</v>
      </c>
      <c r="I381" s="23">
        <v>21.78</v>
      </c>
      <c r="J381" s="17">
        <v>10.199999999999999</v>
      </c>
    </row>
    <row r="382" spans="1:10">
      <c r="A382" s="24">
        <v>0.21</v>
      </c>
      <c r="B382" s="19">
        <v>0.91900000000000004</v>
      </c>
      <c r="C382" s="20">
        <v>18.100000000000001</v>
      </c>
      <c r="D382" s="17">
        <v>0.67100000000000004</v>
      </c>
      <c r="E382" s="17">
        <v>24</v>
      </c>
      <c r="F382" s="21">
        <v>666</v>
      </c>
      <c r="G382" s="17">
        <v>20.2</v>
      </c>
      <c r="H382" s="22">
        <v>6.968</v>
      </c>
      <c r="I382" s="23">
        <v>17.21</v>
      </c>
      <c r="J382" s="17">
        <v>10.4</v>
      </c>
    </row>
    <row r="383" spans="1:10">
      <c r="A383" s="24">
        <v>5.69</v>
      </c>
      <c r="B383" s="19">
        <v>0.99099999999999999</v>
      </c>
      <c r="C383" s="20">
        <v>18.100000000000001</v>
      </c>
      <c r="D383" s="17">
        <v>0.67100000000000004</v>
      </c>
      <c r="E383" s="17">
        <v>24</v>
      </c>
      <c r="F383" s="21">
        <v>666</v>
      </c>
      <c r="G383" s="17">
        <v>20.2</v>
      </c>
      <c r="H383" s="22">
        <v>6.5449999999999999</v>
      </c>
      <c r="I383" s="23">
        <v>21.08</v>
      </c>
      <c r="J383" s="17">
        <v>10.9</v>
      </c>
    </row>
    <row r="384" spans="1:10">
      <c r="A384" s="24">
        <v>7.68</v>
      </c>
      <c r="B384" s="19">
        <v>1</v>
      </c>
      <c r="C384" s="20">
        <v>18.100000000000001</v>
      </c>
      <c r="D384" s="17">
        <v>0.7</v>
      </c>
      <c r="E384" s="17">
        <v>24</v>
      </c>
      <c r="F384" s="21">
        <v>666</v>
      </c>
      <c r="G384" s="17">
        <v>20.2</v>
      </c>
      <c r="H384" s="22">
        <v>5.5359999999999996</v>
      </c>
      <c r="I384" s="23">
        <v>23.6</v>
      </c>
      <c r="J384" s="17">
        <v>11.3</v>
      </c>
    </row>
    <row r="385" spans="1:10">
      <c r="A385" s="24">
        <v>8.7899999999999991</v>
      </c>
      <c r="B385" s="19">
        <v>1</v>
      </c>
      <c r="C385" s="20">
        <v>18.100000000000001</v>
      </c>
      <c r="D385" s="17">
        <v>0.7</v>
      </c>
      <c r="E385" s="17">
        <v>24</v>
      </c>
      <c r="F385" s="21">
        <v>666</v>
      </c>
      <c r="G385" s="17">
        <v>20.2</v>
      </c>
      <c r="H385" s="22">
        <v>5.52</v>
      </c>
      <c r="I385" s="23">
        <v>24.56</v>
      </c>
      <c r="J385" s="17">
        <v>12.3</v>
      </c>
    </row>
    <row r="386" spans="1:10">
      <c r="A386" s="24">
        <v>3.49</v>
      </c>
      <c r="B386" s="19">
        <v>0.91200000000000003</v>
      </c>
      <c r="C386" s="20">
        <v>18.100000000000001</v>
      </c>
      <c r="D386" s="17">
        <v>0.7</v>
      </c>
      <c r="E386" s="17">
        <v>24</v>
      </c>
      <c r="F386" s="21">
        <v>666</v>
      </c>
      <c r="G386" s="17">
        <v>20.2</v>
      </c>
      <c r="H386" s="22">
        <v>4.3680000000000003</v>
      </c>
      <c r="I386" s="23">
        <v>30.63</v>
      </c>
      <c r="J386" s="17">
        <v>8.8000000000000007</v>
      </c>
    </row>
    <row r="387" spans="1:10">
      <c r="A387" s="24">
        <v>2.81</v>
      </c>
      <c r="B387" s="19">
        <v>0.98099999999999998</v>
      </c>
      <c r="C387" s="20">
        <v>18.100000000000001</v>
      </c>
      <c r="D387" s="17">
        <v>0.7</v>
      </c>
      <c r="E387" s="17">
        <v>24</v>
      </c>
      <c r="F387" s="21">
        <v>666</v>
      </c>
      <c r="G387" s="17">
        <v>20.2</v>
      </c>
      <c r="H387" s="22">
        <v>5.2770000000000001</v>
      </c>
      <c r="I387" s="23">
        <v>30.81</v>
      </c>
      <c r="J387" s="17">
        <v>7.2</v>
      </c>
    </row>
    <row r="388" spans="1:10">
      <c r="A388" s="24">
        <v>7.47</v>
      </c>
      <c r="B388" s="19">
        <v>1</v>
      </c>
      <c r="C388" s="20">
        <v>18.100000000000001</v>
      </c>
      <c r="D388" s="17">
        <v>0.7</v>
      </c>
      <c r="E388" s="17">
        <v>24</v>
      </c>
      <c r="F388" s="21">
        <v>666</v>
      </c>
      <c r="G388" s="17">
        <v>20.2</v>
      </c>
      <c r="H388" s="22">
        <v>4.6520000000000001</v>
      </c>
      <c r="I388" s="23">
        <v>28.28</v>
      </c>
      <c r="J388" s="17">
        <v>10.5</v>
      </c>
    </row>
    <row r="389" spans="1:10">
      <c r="A389" s="24">
        <v>0.38</v>
      </c>
      <c r="B389" s="19">
        <v>0.89500000000000002</v>
      </c>
      <c r="C389" s="20">
        <v>18.100000000000001</v>
      </c>
      <c r="D389" s="17">
        <v>0.7</v>
      </c>
      <c r="E389" s="17">
        <v>24</v>
      </c>
      <c r="F389" s="21">
        <v>666</v>
      </c>
      <c r="G389" s="17">
        <v>20.2</v>
      </c>
      <c r="H389" s="22">
        <v>5</v>
      </c>
      <c r="I389" s="23">
        <v>31.99</v>
      </c>
      <c r="J389" s="17">
        <v>7.4</v>
      </c>
    </row>
    <row r="390" spans="1:10">
      <c r="A390" s="24">
        <v>5.7</v>
      </c>
      <c r="B390" s="19">
        <v>1</v>
      </c>
      <c r="C390" s="20">
        <v>18.100000000000001</v>
      </c>
      <c r="D390" s="17">
        <v>0.7</v>
      </c>
      <c r="E390" s="17">
        <v>24</v>
      </c>
      <c r="F390" s="21">
        <v>666</v>
      </c>
      <c r="G390" s="17">
        <v>20.2</v>
      </c>
      <c r="H390" s="22">
        <v>4.88</v>
      </c>
      <c r="I390" s="23">
        <v>30.62</v>
      </c>
      <c r="J390" s="17">
        <v>10.199999999999999</v>
      </c>
    </row>
    <row r="391" spans="1:10">
      <c r="A391" s="24">
        <v>5.63</v>
      </c>
      <c r="B391" s="19">
        <v>0.9890000000000001</v>
      </c>
      <c r="C391" s="20">
        <v>18.100000000000001</v>
      </c>
      <c r="D391" s="17">
        <v>0.7</v>
      </c>
      <c r="E391" s="17">
        <v>24</v>
      </c>
      <c r="F391" s="21">
        <v>666</v>
      </c>
      <c r="G391" s="17">
        <v>20.2</v>
      </c>
      <c r="H391" s="22">
        <v>5.39</v>
      </c>
      <c r="I391" s="23">
        <v>20.85</v>
      </c>
      <c r="J391" s="17">
        <v>11.5</v>
      </c>
    </row>
    <row r="392" spans="1:10">
      <c r="A392" s="24">
        <v>9.56</v>
      </c>
      <c r="B392" s="19">
        <v>0.97</v>
      </c>
      <c r="C392" s="20">
        <v>18.100000000000001</v>
      </c>
      <c r="D392" s="17">
        <v>0.7</v>
      </c>
      <c r="E392" s="17">
        <v>24</v>
      </c>
      <c r="F392" s="21">
        <v>666</v>
      </c>
      <c r="G392" s="17">
        <v>20.2</v>
      </c>
      <c r="H392" s="22">
        <v>5.7130000000000001</v>
      </c>
      <c r="I392" s="23">
        <v>17.11</v>
      </c>
      <c r="J392" s="17">
        <v>15.1</v>
      </c>
    </row>
    <row r="393" spans="1:10">
      <c r="A393" s="24">
        <v>0.74</v>
      </c>
      <c r="B393" s="19">
        <v>0.82500000000000007</v>
      </c>
      <c r="C393" s="20">
        <v>18.100000000000001</v>
      </c>
      <c r="D393" s="17">
        <v>0.7</v>
      </c>
      <c r="E393" s="17">
        <v>24</v>
      </c>
      <c r="F393" s="21">
        <v>666</v>
      </c>
      <c r="G393" s="17">
        <v>20.2</v>
      </c>
      <c r="H393" s="22">
        <v>6.0510000000000002</v>
      </c>
      <c r="I393" s="23">
        <v>18.760000000000002</v>
      </c>
      <c r="J393" s="17">
        <v>23.2</v>
      </c>
    </row>
    <row r="394" spans="1:10">
      <c r="A394" s="24">
        <v>0.06</v>
      </c>
      <c r="B394" s="19">
        <v>0.97</v>
      </c>
      <c r="C394" s="20">
        <v>18.100000000000001</v>
      </c>
      <c r="D394" s="17">
        <v>0.7</v>
      </c>
      <c r="E394" s="17">
        <v>24</v>
      </c>
      <c r="F394" s="21">
        <v>666</v>
      </c>
      <c r="G394" s="17">
        <v>20.2</v>
      </c>
      <c r="H394" s="22">
        <v>5.0359999999999996</v>
      </c>
      <c r="I394" s="23">
        <v>25.68</v>
      </c>
      <c r="J394" s="17">
        <v>9.6999999999999993</v>
      </c>
    </row>
    <row r="395" spans="1:10">
      <c r="A395" s="24">
        <v>0.46</v>
      </c>
      <c r="B395" s="19">
        <v>0.92599999999999993</v>
      </c>
      <c r="C395" s="20">
        <v>18.100000000000001</v>
      </c>
      <c r="D395" s="17">
        <v>0.69299999999999995</v>
      </c>
      <c r="E395" s="17">
        <v>24</v>
      </c>
      <c r="F395" s="21">
        <v>666</v>
      </c>
      <c r="G395" s="17">
        <v>20.2</v>
      </c>
      <c r="H395" s="22">
        <v>6.1929999999999996</v>
      </c>
      <c r="I395" s="23">
        <v>15.17</v>
      </c>
      <c r="J395" s="17">
        <v>13.8</v>
      </c>
    </row>
    <row r="396" spans="1:10">
      <c r="A396" s="24">
        <v>1.28</v>
      </c>
      <c r="B396" s="19">
        <v>0.94700000000000006</v>
      </c>
      <c r="C396" s="20">
        <v>18.100000000000001</v>
      </c>
      <c r="D396" s="17">
        <v>0.69299999999999995</v>
      </c>
      <c r="E396" s="17">
        <v>24</v>
      </c>
      <c r="F396" s="21">
        <v>666</v>
      </c>
      <c r="G396" s="17">
        <v>20.2</v>
      </c>
      <c r="H396" s="22">
        <v>5.8869999999999996</v>
      </c>
      <c r="I396" s="23">
        <v>16.350000000000001</v>
      </c>
      <c r="J396" s="17">
        <v>12.7</v>
      </c>
    </row>
    <row r="397" spans="1:10">
      <c r="A397" s="24">
        <v>5.24</v>
      </c>
      <c r="B397" s="19">
        <v>0.98799999999999999</v>
      </c>
      <c r="C397" s="20">
        <v>18.100000000000001</v>
      </c>
      <c r="D397" s="17">
        <v>0.69299999999999995</v>
      </c>
      <c r="E397" s="17">
        <v>24</v>
      </c>
      <c r="F397" s="21">
        <v>666</v>
      </c>
      <c r="G397" s="17">
        <v>20.2</v>
      </c>
      <c r="H397" s="22">
        <v>6.4710000000000001</v>
      </c>
      <c r="I397" s="23">
        <v>17.12</v>
      </c>
      <c r="J397" s="17">
        <v>13.1</v>
      </c>
    </row>
    <row r="398" spans="1:10">
      <c r="A398" s="24">
        <v>4.78</v>
      </c>
      <c r="B398" s="19">
        <v>0.96</v>
      </c>
      <c r="C398" s="20">
        <v>18.100000000000001</v>
      </c>
      <c r="D398" s="17">
        <v>0.69299999999999995</v>
      </c>
      <c r="E398" s="17">
        <v>24</v>
      </c>
      <c r="F398" s="21">
        <v>666</v>
      </c>
      <c r="G398" s="17">
        <v>20.2</v>
      </c>
      <c r="H398" s="22">
        <v>6.4050000000000002</v>
      </c>
      <c r="I398" s="23">
        <v>19.37</v>
      </c>
      <c r="J398" s="17">
        <v>12.5</v>
      </c>
    </row>
    <row r="399" spans="1:10">
      <c r="A399" s="24">
        <v>5.8</v>
      </c>
      <c r="B399" s="19">
        <v>0.9890000000000001</v>
      </c>
      <c r="C399" s="20">
        <v>18.100000000000001</v>
      </c>
      <c r="D399" s="17">
        <v>0.69299999999999995</v>
      </c>
      <c r="E399" s="17">
        <v>24</v>
      </c>
      <c r="F399" s="21">
        <v>666</v>
      </c>
      <c r="G399" s="17">
        <v>20.2</v>
      </c>
      <c r="H399" s="22">
        <v>5.7469999999999999</v>
      </c>
      <c r="I399" s="23">
        <v>19.920000000000002</v>
      </c>
      <c r="J399" s="17">
        <v>8.5</v>
      </c>
    </row>
    <row r="400" spans="1:10">
      <c r="A400" s="24">
        <v>1.22</v>
      </c>
      <c r="B400" s="19">
        <v>1</v>
      </c>
      <c r="C400" s="20">
        <v>18.100000000000001</v>
      </c>
      <c r="D400" s="17">
        <v>0.69299999999999995</v>
      </c>
      <c r="E400" s="17">
        <v>24</v>
      </c>
      <c r="F400" s="21">
        <v>666</v>
      </c>
      <c r="G400" s="17">
        <v>20.2</v>
      </c>
      <c r="H400" s="22">
        <v>5.4530000000000003</v>
      </c>
      <c r="I400" s="23">
        <v>30.59</v>
      </c>
      <c r="J400" s="17">
        <v>5</v>
      </c>
    </row>
    <row r="401" spans="1:10">
      <c r="A401" s="24">
        <v>5.93</v>
      </c>
      <c r="B401" s="19">
        <v>0.77800000000000002</v>
      </c>
      <c r="C401" s="20">
        <v>18.100000000000001</v>
      </c>
      <c r="D401" s="17">
        <v>0.69299999999999995</v>
      </c>
      <c r="E401" s="17">
        <v>24</v>
      </c>
      <c r="F401" s="21">
        <v>666</v>
      </c>
      <c r="G401" s="17">
        <v>20.2</v>
      </c>
      <c r="H401" s="22">
        <v>5.8520000000000003</v>
      </c>
      <c r="I401" s="23">
        <v>29.97</v>
      </c>
      <c r="J401" s="17">
        <v>6.3</v>
      </c>
    </row>
    <row r="402" spans="1:10">
      <c r="A402" s="24">
        <v>4.1399999999999997</v>
      </c>
      <c r="B402" s="19">
        <v>1</v>
      </c>
      <c r="C402" s="20">
        <v>18.100000000000001</v>
      </c>
      <c r="D402" s="17">
        <v>0.69299999999999995</v>
      </c>
      <c r="E402" s="17">
        <v>24</v>
      </c>
      <c r="F402" s="21">
        <v>666</v>
      </c>
      <c r="G402" s="17">
        <v>20.2</v>
      </c>
      <c r="H402" s="22">
        <v>5.9870000000000001</v>
      </c>
      <c r="I402" s="23">
        <v>26.77</v>
      </c>
      <c r="J402" s="17">
        <v>5.6</v>
      </c>
    </row>
    <row r="403" spans="1:10">
      <c r="A403" s="24">
        <v>1.3</v>
      </c>
      <c r="B403" s="19">
        <v>1</v>
      </c>
      <c r="C403" s="20">
        <v>18.100000000000001</v>
      </c>
      <c r="D403" s="17">
        <v>0.69299999999999995</v>
      </c>
      <c r="E403" s="17">
        <v>24</v>
      </c>
      <c r="F403" s="21">
        <v>666</v>
      </c>
      <c r="G403" s="17">
        <v>20.2</v>
      </c>
      <c r="H403" s="22">
        <v>6.343</v>
      </c>
      <c r="I403" s="23">
        <v>20.32</v>
      </c>
      <c r="J403" s="17">
        <v>7.2</v>
      </c>
    </row>
    <row r="404" spans="1:10">
      <c r="A404" s="24">
        <v>8.65</v>
      </c>
      <c r="B404" s="19">
        <v>1</v>
      </c>
      <c r="C404" s="20">
        <v>18.100000000000001</v>
      </c>
      <c r="D404" s="17">
        <v>0.69299999999999995</v>
      </c>
      <c r="E404" s="17">
        <v>24</v>
      </c>
      <c r="F404" s="21">
        <v>666</v>
      </c>
      <c r="G404" s="17">
        <v>20.2</v>
      </c>
      <c r="H404" s="22">
        <v>6.4039999999999999</v>
      </c>
      <c r="I404" s="23">
        <v>20.309999999999999</v>
      </c>
      <c r="J404" s="17">
        <v>12.1</v>
      </c>
    </row>
    <row r="405" spans="1:10">
      <c r="A405" s="24">
        <v>4</v>
      </c>
      <c r="B405" s="19">
        <v>0.96</v>
      </c>
      <c r="C405" s="20">
        <v>18.100000000000001</v>
      </c>
      <c r="D405" s="17">
        <v>0.69299999999999995</v>
      </c>
      <c r="E405" s="17">
        <v>24</v>
      </c>
      <c r="F405" s="21">
        <v>666</v>
      </c>
      <c r="G405" s="17">
        <v>20.2</v>
      </c>
      <c r="H405" s="22">
        <v>5.3490000000000002</v>
      </c>
      <c r="I405" s="23">
        <v>19.77</v>
      </c>
      <c r="J405" s="17">
        <v>8.3000000000000007</v>
      </c>
    </row>
    <row r="406" spans="1:10">
      <c r="A406" s="24">
        <v>0.74</v>
      </c>
      <c r="B406" s="19">
        <v>0.85400000000000009</v>
      </c>
      <c r="C406" s="20">
        <v>18.100000000000001</v>
      </c>
      <c r="D406" s="17">
        <v>0.69299999999999995</v>
      </c>
      <c r="E406" s="17">
        <v>24</v>
      </c>
      <c r="F406" s="21">
        <v>666</v>
      </c>
      <c r="G406" s="17">
        <v>20.2</v>
      </c>
      <c r="H406" s="22">
        <v>5.5309999999999997</v>
      </c>
      <c r="I406" s="23">
        <v>27.38</v>
      </c>
      <c r="J406" s="17">
        <v>8.5</v>
      </c>
    </row>
    <row r="407" spans="1:10">
      <c r="A407" s="24">
        <v>1.1599999999999999</v>
      </c>
      <c r="B407" s="19">
        <v>1</v>
      </c>
      <c r="C407" s="20">
        <v>18.100000000000001</v>
      </c>
      <c r="D407" s="17">
        <v>0.69299999999999995</v>
      </c>
      <c r="E407" s="17">
        <v>24</v>
      </c>
      <c r="F407" s="21">
        <v>666</v>
      </c>
      <c r="G407" s="17">
        <v>20.2</v>
      </c>
      <c r="H407" s="22">
        <v>5.6829999999999998</v>
      </c>
      <c r="I407" s="23">
        <v>22.98</v>
      </c>
      <c r="J407" s="17">
        <v>5</v>
      </c>
    </row>
    <row r="408" spans="1:10">
      <c r="A408" s="24">
        <v>4.8899999999999997</v>
      </c>
      <c r="B408" s="19">
        <v>1</v>
      </c>
      <c r="C408" s="20">
        <v>18.100000000000001</v>
      </c>
      <c r="D408" s="17">
        <v>0.65900000000000003</v>
      </c>
      <c r="E408" s="17">
        <v>24</v>
      </c>
      <c r="F408" s="21">
        <v>666</v>
      </c>
      <c r="G408" s="17">
        <v>20.2</v>
      </c>
      <c r="H408" s="22">
        <v>4.1379999999999999</v>
      </c>
      <c r="I408" s="23">
        <v>23.34</v>
      </c>
      <c r="J408" s="17">
        <v>11.9</v>
      </c>
    </row>
    <row r="409" spans="1:10">
      <c r="A409" s="24">
        <v>1.65</v>
      </c>
      <c r="B409" s="19">
        <v>1</v>
      </c>
      <c r="C409" s="20">
        <v>18.100000000000001</v>
      </c>
      <c r="D409" s="17">
        <v>0.65900000000000003</v>
      </c>
      <c r="E409" s="17">
        <v>24</v>
      </c>
      <c r="F409" s="21">
        <v>666</v>
      </c>
      <c r="G409" s="17">
        <v>20.2</v>
      </c>
      <c r="H409" s="22">
        <v>5.6079999999999997</v>
      </c>
      <c r="I409" s="23">
        <v>12.13</v>
      </c>
      <c r="J409" s="17">
        <v>27.9</v>
      </c>
    </row>
    <row r="410" spans="1:10">
      <c r="A410" s="24">
        <v>5.75</v>
      </c>
      <c r="B410" s="19">
        <v>0.97900000000000009</v>
      </c>
      <c r="C410" s="20">
        <v>18.100000000000001</v>
      </c>
      <c r="D410" s="17">
        <v>0.59699999999999998</v>
      </c>
      <c r="E410" s="17">
        <v>24</v>
      </c>
      <c r="F410" s="21">
        <v>666</v>
      </c>
      <c r="G410" s="17">
        <v>20.2</v>
      </c>
      <c r="H410" s="22">
        <v>5.617</v>
      </c>
      <c r="I410" s="23">
        <v>26.4</v>
      </c>
      <c r="J410" s="17">
        <v>17.2</v>
      </c>
    </row>
    <row r="411" spans="1:10">
      <c r="A411" s="24">
        <v>8.1300000000000008</v>
      </c>
      <c r="B411" s="19">
        <v>1</v>
      </c>
      <c r="C411" s="20">
        <v>18.100000000000001</v>
      </c>
      <c r="D411" s="17">
        <v>0.59699999999999998</v>
      </c>
      <c r="E411" s="17">
        <v>24</v>
      </c>
      <c r="F411" s="21">
        <v>666</v>
      </c>
      <c r="G411" s="17">
        <v>20.2</v>
      </c>
      <c r="H411" s="22">
        <v>6.8520000000000003</v>
      </c>
      <c r="I411" s="23">
        <v>19.78</v>
      </c>
      <c r="J411" s="17">
        <v>27.5</v>
      </c>
    </row>
    <row r="412" spans="1:10">
      <c r="A412" s="24">
        <v>5</v>
      </c>
      <c r="B412" s="19">
        <v>1</v>
      </c>
      <c r="C412" s="20">
        <v>18.100000000000001</v>
      </c>
      <c r="D412" s="17">
        <v>0.59699999999999998</v>
      </c>
      <c r="E412" s="17">
        <v>24</v>
      </c>
      <c r="F412" s="21">
        <v>666</v>
      </c>
      <c r="G412" s="17">
        <v>20.2</v>
      </c>
      <c r="H412" s="22">
        <v>5.7569999999999997</v>
      </c>
      <c r="I412" s="23">
        <v>10.11</v>
      </c>
      <c r="J412" s="17">
        <v>15</v>
      </c>
    </row>
    <row r="413" spans="1:10">
      <c r="A413" s="24">
        <v>5.84</v>
      </c>
      <c r="B413" s="19">
        <v>1</v>
      </c>
      <c r="C413" s="20">
        <v>18.100000000000001</v>
      </c>
      <c r="D413" s="17">
        <v>0.59699999999999998</v>
      </c>
      <c r="E413" s="17">
        <v>24</v>
      </c>
      <c r="F413" s="21">
        <v>666</v>
      </c>
      <c r="G413" s="17">
        <v>20.2</v>
      </c>
      <c r="H413" s="22">
        <v>6.657</v>
      </c>
      <c r="I413" s="23">
        <v>21.22</v>
      </c>
      <c r="J413" s="17">
        <v>17.2</v>
      </c>
    </row>
    <row r="414" spans="1:10">
      <c r="A414" s="24">
        <v>4.47</v>
      </c>
      <c r="B414" s="19">
        <v>1</v>
      </c>
      <c r="C414" s="20">
        <v>18.100000000000001</v>
      </c>
      <c r="D414" s="17">
        <v>0.59699999999999998</v>
      </c>
      <c r="E414" s="17">
        <v>24</v>
      </c>
      <c r="F414" s="21">
        <v>666</v>
      </c>
      <c r="G414" s="17">
        <v>20.2</v>
      </c>
      <c r="H414" s="22">
        <v>4.6280000000000001</v>
      </c>
      <c r="I414" s="23">
        <v>34.369999999999997</v>
      </c>
      <c r="J414" s="17">
        <v>17.899999999999999</v>
      </c>
    </row>
    <row r="415" spans="1:10">
      <c r="A415" s="24">
        <v>1.83</v>
      </c>
      <c r="B415" s="19">
        <v>1</v>
      </c>
      <c r="C415" s="20">
        <v>18.100000000000001</v>
      </c>
      <c r="D415" s="17">
        <v>0.59699999999999998</v>
      </c>
      <c r="E415" s="17">
        <v>24</v>
      </c>
      <c r="F415" s="21">
        <v>666</v>
      </c>
      <c r="G415" s="17">
        <v>20.2</v>
      </c>
      <c r="H415" s="22">
        <v>5.1550000000000002</v>
      </c>
      <c r="I415" s="23">
        <v>20.079999999999998</v>
      </c>
      <c r="J415" s="17">
        <v>16.3</v>
      </c>
    </row>
    <row r="416" spans="1:10">
      <c r="A416" s="24">
        <v>9.83</v>
      </c>
      <c r="B416" s="19">
        <v>1</v>
      </c>
      <c r="C416" s="20">
        <v>18.100000000000001</v>
      </c>
      <c r="D416" s="17">
        <v>0.69299999999999995</v>
      </c>
      <c r="E416" s="17">
        <v>24</v>
      </c>
      <c r="F416" s="21">
        <v>666</v>
      </c>
      <c r="G416" s="17">
        <v>20.2</v>
      </c>
      <c r="H416" s="22">
        <v>4.5190000000000001</v>
      </c>
      <c r="I416" s="23">
        <v>36.979999999999997</v>
      </c>
      <c r="J416" s="17">
        <v>7</v>
      </c>
    </row>
    <row r="417" spans="1:10">
      <c r="A417" s="24">
        <v>8.66</v>
      </c>
      <c r="B417" s="19">
        <v>1</v>
      </c>
      <c r="C417" s="20">
        <v>18.100000000000001</v>
      </c>
      <c r="D417" s="17">
        <v>0.67900000000000005</v>
      </c>
      <c r="E417" s="17">
        <v>24</v>
      </c>
      <c r="F417" s="21">
        <v>666</v>
      </c>
      <c r="G417" s="17">
        <v>20.2</v>
      </c>
      <c r="H417" s="22">
        <v>6.4340000000000002</v>
      </c>
      <c r="I417" s="23">
        <v>29.05</v>
      </c>
      <c r="J417" s="17">
        <v>7.2</v>
      </c>
    </row>
    <row r="418" spans="1:10">
      <c r="A418" s="24">
        <v>9.66</v>
      </c>
      <c r="B418" s="19">
        <v>0.90800000000000003</v>
      </c>
      <c r="C418" s="20">
        <v>18.100000000000001</v>
      </c>
      <c r="D418" s="17">
        <v>0.67900000000000005</v>
      </c>
      <c r="E418" s="17">
        <v>24</v>
      </c>
      <c r="F418" s="21">
        <v>666</v>
      </c>
      <c r="G418" s="17">
        <v>20.2</v>
      </c>
      <c r="H418" s="22">
        <v>6.782</v>
      </c>
      <c r="I418" s="23">
        <v>25.79</v>
      </c>
      <c r="J418" s="17">
        <v>7.5</v>
      </c>
    </row>
    <row r="419" spans="1:10">
      <c r="A419" s="24">
        <v>9.82</v>
      </c>
      <c r="B419" s="19">
        <v>0.89100000000000001</v>
      </c>
      <c r="C419" s="20">
        <v>18.100000000000001</v>
      </c>
      <c r="D419" s="17">
        <v>0.67900000000000005</v>
      </c>
      <c r="E419" s="17">
        <v>24</v>
      </c>
      <c r="F419" s="21">
        <v>666</v>
      </c>
      <c r="G419" s="17">
        <v>20.2</v>
      </c>
      <c r="H419" s="22">
        <v>5.3040000000000003</v>
      </c>
      <c r="I419" s="23">
        <v>26.64</v>
      </c>
      <c r="J419" s="17">
        <v>10.4</v>
      </c>
    </row>
    <row r="420" spans="1:10">
      <c r="A420" s="24">
        <v>6.11</v>
      </c>
      <c r="B420" s="19">
        <v>1</v>
      </c>
      <c r="C420" s="20">
        <v>18.100000000000001</v>
      </c>
      <c r="D420" s="17">
        <v>0.67900000000000005</v>
      </c>
      <c r="E420" s="17">
        <v>24</v>
      </c>
      <c r="F420" s="21">
        <v>666</v>
      </c>
      <c r="G420" s="17">
        <v>20.2</v>
      </c>
      <c r="H420" s="22">
        <v>5.9569999999999999</v>
      </c>
      <c r="I420" s="23">
        <v>20.62</v>
      </c>
      <c r="J420" s="17">
        <v>8.8000000000000007</v>
      </c>
    </row>
    <row r="421" spans="1:10">
      <c r="A421" s="24">
        <v>5.26</v>
      </c>
      <c r="B421" s="19">
        <v>0.76500000000000001</v>
      </c>
      <c r="C421" s="20">
        <v>18.100000000000001</v>
      </c>
      <c r="D421" s="17">
        <v>0.71799999999999997</v>
      </c>
      <c r="E421" s="17">
        <v>24</v>
      </c>
      <c r="F421" s="21">
        <v>666</v>
      </c>
      <c r="G421" s="17">
        <v>20.2</v>
      </c>
      <c r="H421" s="22">
        <v>6.8239999999999998</v>
      </c>
      <c r="I421" s="23">
        <v>22.74</v>
      </c>
      <c r="J421" s="17">
        <v>8.4</v>
      </c>
    </row>
    <row r="422" spans="1:10">
      <c r="A422" s="24">
        <v>3.8</v>
      </c>
      <c r="B422" s="19">
        <v>1</v>
      </c>
      <c r="C422" s="20">
        <v>18.100000000000001</v>
      </c>
      <c r="D422" s="17">
        <v>0.71799999999999997</v>
      </c>
      <c r="E422" s="17">
        <v>24</v>
      </c>
      <c r="F422" s="21">
        <v>666</v>
      </c>
      <c r="G422" s="17">
        <v>20.2</v>
      </c>
      <c r="H422" s="22">
        <v>6.4109999999999996</v>
      </c>
      <c r="I422" s="23">
        <v>15.02</v>
      </c>
      <c r="J422" s="17">
        <v>16.7</v>
      </c>
    </row>
    <row r="423" spans="1:10">
      <c r="A423" s="24">
        <v>0.1</v>
      </c>
      <c r="B423" s="19">
        <v>0.95299999999999996</v>
      </c>
      <c r="C423" s="20">
        <v>18.100000000000001</v>
      </c>
      <c r="D423" s="17">
        <v>0.71799999999999997</v>
      </c>
      <c r="E423" s="17">
        <v>24</v>
      </c>
      <c r="F423" s="21">
        <v>666</v>
      </c>
      <c r="G423" s="17">
        <v>20.2</v>
      </c>
      <c r="H423" s="22">
        <v>6.0060000000000002</v>
      </c>
      <c r="I423" s="23">
        <v>15.7</v>
      </c>
      <c r="J423" s="17">
        <v>14.2</v>
      </c>
    </row>
    <row r="424" spans="1:10">
      <c r="A424" s="24">
        <v>7.09</v>
      </c>
      <c r="B424" s="19">
        <v>0.876</v>
      </c>
      <c r="C424" s="20">
        <v>18.100000000000001</v>
      </c>
      <c r="D424" s="17">
        <v>0.61399999999999999</v>
      </c>
      <c r="E424" s="17">
        <v>24</v>
      </c>
      <c r="F424" s="21">
        <v>666</v>
      </c>
      <c r="G424" s="17">
        <v>20.2</v>
      </c>
      <c r="H424" s="22">
        <v>5.6479999999999997</v>
      </c>
      <c r="I424" s="23">
        <v>14.1</v>
      </c>
      <c r="J424" s="17">
        <v>20.8</v>
      </c>
    </row>
    <row r="425" spans="1:10">
      <c r="A425" s="24">
        <v>2.08</v>
      </c>
      <c r="B425" s="19">
        <v>0.85099999999999998</v>
      </c>
      <c r="C425" s="20">
        <v>18.100000000000001</v>
      </c>
      <c r="D425" s="17">
        <v>0.61399999999999999</v>
      </c>
      <c r="E425" s="17">
        <v>24</v>
      </c>
      <c r="F425" s="21">
        <v>666</v>
      </c>
      <c r="G425" s="17">
        <v>20.2</v>
      </c>
      <c r="H425" s="22">
        <v>6.1029999999999998</v>
      </c>
      <c r="I425" s="23">
        <v>23.29</v>
      </c>
      <c r="J425" s="17">
        <v>13.4</v>
      </c>
    </row>
    <row r="426" spans="1:10">
      <c r="A426" s="24">
        <v>6.32</v>
      </c>
      <c r="B426" s="19">
        <v>0.70599999999999996</v>
      </c>
      <c r="C426" s="20">
        <v>18.100000000000001</v>
      </c>
      <c r="D426" s="17">
        <v>0.58399999999999996</v>
      </c>
      <c r="E426" s="17">
        <v>24</v>
      </c>
      <c r="F426" s="21">
        <v>666</v>
      </c>
      <c r="G426" s="17">
        <v>20.2</v>
      </c>
      <c r="H426" s="22">
        <v>5.5650000000000004</v>
      </c>
      <c r="I426" s="23">
        <v>17.16</v>
      </c>
      <c r="J426" s="17">
        <v>11.7</v>
      </c>
    </row>
    <row r="427" spans="1:10">
      <c r="A427" s="24">
        <v>1.71</v>
      </c>
      <c r="B427" s="19">
        <v>0.95400000000000007</v>
      </c>
      <c r="C427" s="20">
        <v>18.100000000000001</v>
      </c>
      <c r="D427" s="17">
        <v>0.67900000000000005</v>
      </c>
      <c r="E427" s="17">
        <v>24</v>
      </c>
      <c r="F427" s="21">
        <v>666</v>
      </c>
      <c r="G427" s="17">
        <v>20.2</v>
      </c>
      <c r="H427" s="22">
        <v>5.8959999999999999</v>
      </c>
      <c r="I427" s="23">
        <v>24.39</v>
      </c>
      <c r="J427" s="17">
        <v>8.3000000000000007</v>
      </c>
    </row>
    <row r="428" spans="1:10">
      <c r="A428" s="24">
        <v>4.53</v>
      </c>
      <c r="B428" s="19">
        <v>0.59700000000000009</v>
      </c>
      <c r="C428" s="20">
        <v>18.100000000000001</v>
      </c>
      <c r="D428" s="17">
        <v>0.58399999999999996</v>
      </c>
      <c r="E428" s="17">
        <v>24</v>
      </c>
      <c r="F428" s="21">
        <v>666</v>
      </c>
      <c r="G428" s="17">
        <v>20.2</v>
      </c>
      <c r="H428" s="22">
        <v>5.8369999999999997</v>
      </c>
      <c r="I428" s="23">
        <v>15.69</v>
      </c>
      <c r="J428" s="17">
        <v>10.199999999999999</v>
      </c>
    </row>
    <row r="429" spans="1:10">
      <c r="A429" s="24">
        <v>2.64</v>
      </c>
      <c r="B429" s="19">
        <v>0.78700000000000003</v>
      </c>
      <c r="C429" s="20">
        <v>18.100000000000001</v>
      </c>
      <c r="D429" s="17">
        <v>0.67900000000000005</v>
      </c>
      <c r="E429" s="17">
        <v>24</v>
      </c>
      <c r="F429" s="21">
        <v>666</v>
      </c>
      <c r="G429" s="17">
        <v>20.2</v>
      </c>
      <c r="H429" s="22">
        <v>6.202</v>
      </c>
      <c r="I429" s="23">
        <v>14.52</v>
      </c>
      <c r="J429" s="17">
        <v>10.9</v>
      </c>
    </row>
    <row r="430" spans="1:10">
      <c r="A430" s="24">
        <v>1.78</v>
      </c>
      <c r="B430" s="19">
        <v>0.78099999999999992</v>
      </c>
      <c r="C430" s="20">
        <v>18.100000000000001</v>
      </c>
      <c r="D430" s="17">
        <v>0.67900000000000005</v>
      </c>
      <c r="E430" s="17">
        <v>24</v>
      </c>
      <c r="F430" s="21">
        <v>666</v>
      </c>
      <c r="G430" s="17">
        <v>20.2</v>
      </c>
      <c r="H430" s="22">
        <v>6.1929999999999996</v>
      </c>
      <c r="I430" s="23">
        <v>21.52</v>
      </c>
      <c r="J430" s="17">
        <v>11</v>
      </c>
    </row>
    <row r="431" spans="1:10">
      <c r="A431" s="24">
        <v>6.23</v>
      </c>
      <c r="B431" s="19">
        <v>0.95599999999999996</v>
      </c>
      <c r="C431" s="20">
        <v>18.100000000000001</v>
      </c>
      <c r="D431" s="17">
        <v>0.67900000000000005</v>
      </c>
      <c r="E431" s="17">
        <v>24</v>
      </c>
      <c r="F431" s="21">
        <v>666</v>
      </c>
      <c r="G431" s="17">
        <v>20.2</v>
      </c>
      <c r="H431" s="22">
        <v>6.38</v>
      </c>
      <c r="I431" s="23">
        <v>24.08</v>
      </c>
      <c r="J431" s="17">
        <v>9.5</v>
      </c>
    </row>
    <row r="432" spans="1:10">
      <c r="A432" s="24">
        <v>5.24</v>
      </c>
      <c r="B432" s="19">
        <v>0.86099999999999999</v>
      </c>
      <c r="C432" s="20">
        <v>18.100000000000001</v>
      </c>
      <c r="D432" s="17">
        <v>0.58399999999999996</v>
      </c>
      <c r="E432" s="17">
        <v>24</v>
      </c>
      <c r="F432" s="21">
        <v>666</v>
      </c>
      <c r="G432" s="17">
        <v>20.2</v>
      </c>
      <c r="H432" s="22">
        <v>6.3479999999999999</v>
      </c>
      <c r="I432" s="23">
        <v>17.64</v>
      </c>
      <c r="J432" s="17">
        <v>14.5</v>
      </c>
    </row>
    <row r="433" spans="1:10">
      <c r="A433" s="24">
        <v>6.65</v>
      </c>
      <c r="B433" s="19">
        <v>0.94299999999999995</v>
      </c>
      <c r="C433" s="20">
        <v>18.100000000000001</v>
      </c>
      <c r="D433" s="17">
        <v>0.58399999999999996</v>
      </c>
      <c r="E433" s="17">
        <v>24</v>
      </c>
      <c r="F433" s="21">
        <v>666</v>
      </c>
      <c r="G433" s="17">
        <v>20.2</v>
      </c>
      <c r="H433" s="22">
        <v>6.8330000000000002</v>
      </c>
      <c r="I433" s="23">
        <v>19.690000000000001</v>
      </c>
      <c r="J433" s="17">
        <v>14.1</v>
      </c>
    </row>
    <row r="434" spans="1:10">
      <c r="A434" s="24">
        <v>4.09</v>
      </c>
      <c r="B434" s="19">
        <v>0.748</v>
      </c>
      <c r="C434" s="20">
        <v>18.100000000000001</v>
      </c>
      <c r="D434" s="17">
        <v>0.58399999999999996</v>
      </c>
      <c r="E434" s="17">
        <v>24</v>
      </c>
      <c r="F434" s="21">
        <v>666</v>
      </c>
      <c r="G434" s="17">
        <v>20.2</v>
      </c>
      <c r="H434" s="22">
        <v>6.4249999999999998</v>
      </c>
      <c r="I434" s="23">
        <v>12.03</v>
      </c>
      <c r="J434" s="17">
        <v>16.100000000000001</v>
      </c>
    </row>
    <row r="435" spans="1:10">
      <c r="A435" s="24">
        <v>2.19</v>
      </c>
      <c r="B435" s="19">
        <v>0.87900000000000011</v>
      </c>
      <c r="C435" s="20">
        <v>18.100000000000001</v>
      </c>
      <c r="D435" s="17">
        <v>0.71299999999999997</v>
      </c>
      <c r="E435" s="17">
        <v>24</v>
      </c>
      <c r="F435" s="21">
        <v>666</v>
      </c>
      <c r="G435" s="17">
        <v>20.2</v>
      </c>
      <c r="H435" s="22">
        <v>6.4359999999999999</v>
      </c>
      <c r="I435" s="23">
        <v>16.22</v>
      </c>
      <c r="J435" s="17">
        <v>14.3</v>
      </c>
    </row>
    <row r="436" spans="1:10">
      <c r="A436" s="24">
        <v>3.14</v>
      </c>
      <c r="B436" s="19">
        <v>0.95000000000000007</v>
      </c>
      <c r="C436" s="20">
        <v>18.100000000000001</v>
      </c>
      <c r="D436" s="17">
        <v>0.71299999999999997</v>
      </c>
      <c r="E436" s="17">
        <v>24</v>
      </c>
      <c r="F436" s="21">
        <v>666</v>
      </c>
      <c r="G436" s="17">
        <v>20.2</v>
      </c>
      <c r="H436" s="22">
        <v>6.2080000000000002</v>
      </c>
      <c r="I436" s="23">
        <v>15.17</v>
      </c>
      <c r="J436" s="17">
        <v>11.7</v>
      </c>
    </row>
    <row r="437" spans="1:10">
      <c r="A437" s="24">
        <v>0.75</v>
      </c>
      <c r="B437" s="19">
        <v>0.94599999999999995</v>
      </c>
      <c r="C437" s="20">
        <v>18.100000000000001</v>
      </c>
      <c r="D437" s="17">
        <v>0.74</v>
      </c>
      <c r="E437" s="17">
        <v>24</v>
      </c>
      <c r="F437" s="21">
        <v>666</v>
      </c>
      <c r="G437" s="17">
        <v>20.2</v>
      </c>
      <c r="H437" s="22">
        <v>6.6289999999999996</v>
      </c>
      <c r="I437" s="23">
        <v>23.27</v>
      </c>
      <c r="J437" s="17">
        <v>13.4</v>
      </c>
    </row>
    <row r="438" spans="1:10">
      <c r="A438" s="24">
        <v>9.76</v>
      </c>
      <c r="B438" s="19">
        <v>0.93299999999999994</v>
      </c>
      <c r="C438" s="20">
        <v>18.100000000000001</v>
      </c>
      <c r="D438" s="17">
        <v>0.74</v>
      </c>
      <c r="E438" s="17">
        <v>24</v>
      </c>
      <c r="F438" s="21">
        <v>666</v>
      </c>
      <c r="G438" s="17">
        <v>20.2</v>
      </c>
      <c r="H438" s="22">
        <v>6.4610000000000003</v>
      </c>
      <c r="I438" s="23">
        <v>18.05</v>
      </c>
      <c r="J438" s="17">
        <v>9.6</v>
      </c>
    </row>
    <row r="439" spans="1:10">
      <c r="A439" s="24">
        <v>5.53</v>
      </c>
      <c r="B439" s="19">
        <v>1</v>
      </c>
      <c r="C439" s="20">
        <v>18.100000000000001</v>
      </c>
      <c r="D439" s="17">
        <v>0.74</v>
      </c>
      <c r="E439" s="17">
        <v>24</v>
      </c>
      <c r="F439" s="21">
        <v>666</v>
      </c>
      <c r="G439" s="17">
        <v>20.2</v>
      </c>
      <c r="H439" s="22">
        <v>6.1520000000000001</v>
      </c>
      <c r="I439" s="23">
        <v>26.45</v>
      </c>
      <c r="J439" s="17">
        <v>8.6999999999999993</v>
      </c>
    </row>
    <row r="440" spans="1:10">
      <c r="A440" s="24">
        <v>7.63</v>
      </c>
      <c r="B440" s="19">
        <v>0.87900000000000011</v>
      </c>
      <c r="C440" s="20">
        <v>18.100000000000001</v>
      </c>
      <c r="D440" s="17">
        <v>0.74</v>
      </c>
      <c r="E440" s="17">
        <v>24</v>
      </c>
      <c r="F440" s="21">
        <v>666</v>
      </c>
      <c r="G440" s="17">
        <v>20.2</v>
      </c>
      <c r="H440" s="22">
        <v>5.9349999999999996</v>
      </c>
      <c r="I440" s="23">
        <v>34.020000000000003</v>
      </c>
      <c r="J440" s="17">
        <v>8.4</v>
      </c>
    </row>
    <row r="441" spans="1:10">
      <c r="A441" s="24">
        <v>4.0199999999999996</v>
      </c>
      <c r="B441" s="19">
        <v>0.93900000000000006</v>
      </c>
      <c r="C441" s="20">
        <v>18.100000000000001</v>
      </c>
      <c r="D441" s="17">
        <v>0.74</v>
      </c>
      <c r="E441" s="17">
        <v>24</v>
      </c>
      <c r="F441" s="21">
        <v>666</v>
      </c>
      <c r="G441" s="17">
        <v>20.2</v>
      </c>
      <c r="H441" s="22">
        <v>5.6269999999999998</v>
      </c>
      <c r="I441" s="23">
        <v>22.88</v>
      </c>
      <c r="J441" s="17">
        <v>12.8</v>
      </c>
    </row>
    <row r="442" spans="1:10">
      <c r="A442" s="24">
        <v>6.58</v>
      </c>
      <c r="B442" s="19">
        <v>0.92400000000000004</v>
      </c>
      <c r="C442" s="20">
        <v>18.100000000000001</v>
      </c>
      <c r="D442" s="17">
        <v>0.74</v>
      </c>
      <c r="E442" s="17">
        <v>24</v>
      </c>
      <c r="F442" s="21">
        <v>666</v>
      </c>
      <c r="G442" s="17">
        <v>20.2</v>
      </c>
      <c r="H442" s="22">
        <v>5.8179999999999996</v>
      </c>
      <c r="I442" s="23">
        <v>22.11</v>
      </c>
      <c r="J442" s="17">
        <v>10.5</v>
      </c>
    </row>
    <row r="443" spans="1:10">
      <c r="A443" s="24">
        <v>5.66</v>
      </c>
      <c r="B443" s="19">
        <v>0.97200000000000009</v>
      </c>
      <c r="C443" s="20">
        <v>18.100000000000001</v>
      </c>
      <c r="D443" s="17">
        <v>0.74</v>
      </c>
      <c r="E443" s="17">
        <v>24</v>
      </c>
      <c r="F443" s="21">
        <v>666</v>
      </c>
      <c r="G443" s="17">
        <v>20.2</v>
      </c>
      <c r="H443" s="22">
        <v>6.4059999999999997</v>
      </c>
      <c r="I443" s="23">
        <v>19.52</v>
      </c>
      <c r="J443" s="17">
        <v>17.100000000000001</v>
      </c>
    </row>
    <row r="444" spans="1:10">
      <c r="A444" s="24">
        <v>2.64</v>
      </c>
      <c r="B444" s="19">
        <v>1</v>
      </c>
      <c r="C444" s="20">
        <v>18.100000000000001</v>
      </c>
      <c r="D444" s="17">
        <v>0.74</v>
      </c>
      <c r="E444" s="17">
        <v>24</v>
      </c>
      <c r="F444" s="21">
        <v>666</v>
      </c>
      <c r="G444" s="17">
        <v>20.2</v>
      </c>
      <c r="H444" s="22">
        <v>6.2190000000000003</v>
      </c>
      <c r="I444" s="23">
        <v>16.59</v>
      </c>
      <c r="J444" s="17">
        <v>18.399999999999999</v>
      </c>
    </row>
    <row r="445" spans="1:10">
      <c r="A445" s="24">
        <v>3.26</v>
      </c>
      <c r="B445" s="19">
        <v>1</v>
      </c>
      <c r="C445" s="20">
        <v>18.100000000000001</v>
      </c>
      <c r="D445" s="17">
        <v>0.74</v>
      </c>
      <c r="E445" s="17">
        <v>24</v>
      </c>
      <c r="F445" s="21">
        <v>666</v>
      </c>
      <c r="G445" s="17">
        <v>20.2</v>
      </c>
      <c r="H445" s="22">
        <v>6.4850000000000003</v>
      </c>
      <c r="I445" s="23">
        <v>18.850000000000001</v>
      </c>
      <c r="J445" s="17">
        <v>15.4</v>
      </c>
    </row>
    <row r="446" spans="1:10">
      <c r="A446" s="24">
        <v>8.93</v>
      </c>
      <c r="B446" s="19">
        <v>0.96599999999999997</v>
      </c>
      <c r="C446" s="20">
        <v>18.100000000000001</v>
      </c>
      <c r="D446" s="17">
        <v>0.74</v>
      </c>
      <c r="E446" s="17">
        <v>24</v>
      </c>
      <c r="F446" s="21">
        <v>666</v>
      </c>
      <c r="G446" s="17">
        <v>20.2</v>
      </c>
      <c r="H446" s="22">
        <v>5.8540000000000001</v>
      </c>
      <c r="I446" s="23">
        <v>23.79</v>
      </c>
      <c r="J446" s="17">
        <v>10.8</v>
      </c>
    </row>
    <row r="447" spans="1:10">
      <c r="A447" s="24">
        <v>7.0000000000000007E-2</v>
      </c>
      <c r="B447" s="19">
        <v>0.94799999999999995</v>
      </c>
      <c r="C447" s="20">
        <v>18.100000000000001</v>
      </c>
      <c r="D447" s="17">
        <v>0.74</v>
      </c>
      <c r="E447" s="17">
        <v>24</v>
      </c>
      <c r="F447" s="21">
        <v>666</v>
      </c>
      <c r="G447" s="17">
        <v>20.2</v>
      </c>
      <c r="H447" s="22">
        <v>6.4589999999999996</v>
      </c>
      <c r="I447" s="23">
        <v>23.98</v>
      </c>
      <c r="J447" s="17">
        <v>11.8</v>
      </c>
    </row>
    <row r="448" spans="1:10">
      <c r="A448" s="24">
        <v>9.5399999999999991</v>
      </c>
      <c r="B448" s="19">
        <v>0.96400000000000008</v>
      </c>
      <c r="C448" s="20">
        <v>18.100000000000001</v>
      </c>
      <c r="D448" s="17">
        <v>0.74</v>
      </c>
      <c r="E448" s="17">
        <v>24</v>
      </c>
      <c r="F448" s="21">
        <v>666</v>
      </c>
      <c r="G448" s="17">
        <v>20.2</v>
      </c>
      <c r="H448" s="22">
        <v>6.3410000000000002</v>
      </c>
      <c r="I448" s="23">
        <v>17.79</v>
      </c>
      <c r="J448" s="17">
        <v>14.9</v>
      </c>
    </row>
    <row r="449" spans="1:10">
      <c r="A449" s="24">
        <v>6.36</v>
      </c>
      <c r="B449" s="19">
        <v>0.96599999999999997</v>
      </c>
      <c r="C449" s="20">
        <v>18.100000000000001</v>
      </c>
      <c r="D449" s="17">
        <v>0.74</v>
      </c>
      <c r="E449" s="17">
        <v>24</v>
      </c>
      <c r="F449" s="21">
        <v>666</v>
      </c>
      <c r="G449" s="17">
        <v>20.2</v>
      </c>
      <c r="H449" s="22">
        <v>6.2510000000000003</v>
      </c>
      <c r="I449" s="23">
        <v>16.440000000000001</v>
      </c>
      <c r="J449" s="17">
        <v>12.6</v>
      </c>
    </row>
    <row r="450" spans="1:10">
      <c r="A450" s="24">
        <v>7.8</v>
      </c>
      <c r="B450" s="19">
        <v>0.9870000000000001</v>
      </c>
      <c r="C450" s="20">
        <v>18.100000000000001</v>
      </c>
      <c r="D450" s="17">
        <v>0.71299999999999997</v>
      </c>
      <c r="E450" s="17">
        <v>24</v>
      </c>
      <c r="F450" s="21">
        <v>666</v>
      </c>
      <c r="G450" s="17">
        <v>20.2</v>
      </c>
      <c r="H450" s="22">
        <v>6.1849999999999996</v>
      </c>
      <c r="I450" s="23">
        <v>18.13</v>
      </c>
      <c r="J450" s="17">
        <v>14.1</v>
      </c>
    </row>
    <row r="451" spans="1:10">
      <c r="A451" s="24">
        <v>3.67</v>
      </c>
      <c r="B451" s="19">
        <v>0.98299999999999998</v>
      </c>
      <c r="C451" s="20">
        <v>18.100000000000001</v>
      </c>
      <c r="D451" s="17">
        <v>0.71299999999999997</v>
      </c>
      <c r="E451" s="17">
        <v>24</v>
      </c>
      <c r="F451" s="21">
        <v>666</v>
      </c>
      <c r="G451" s="17">
        <v>20.2</v>
      </c>
      <c r="H451" s="22">
        <v>6.4169999999999998</v>
      </c>
      <c r="I451" s="23">
        <v>19.309999999999999</v>
      </c>
      <c r="J451" s="17">
        <v>13</v>
      </c>
    </row>
    <row r="452" spans="1:10">
      <c r="A452" s="24">
        <v>0.75</v>
      </c>
      <c r="B452" s="19">
        <v>0.92599999999999993</v>
      </c>
      <c r="C452" s="20">
        <v>18.100000000000001</v>
      </c>
      <c r="D452" s="17">
        <v>0.71299999999999997</v>
      </c>
      <c r="E452" s="17">
        <v>24</v>
      </c>
      <c r="F452" s="21">
        <v>666</v>
      </c>
      <c r="G452" s="17">
        <v>20.2</v>
      </c>
      <c r="H452" s="22">
        <v>6.7489999999999997</v>
      </c>
      <c r="I452" s="23">
        <v>17.440000000000001</v>
      </c>
      <c r="J452" s="17">
        <v>13.4</v>
      </c>
    </row>
    <row r="453" spans="1:10">
      <c r="A453" s="24">
        <v>7.52</v>
      </c>
      <c r="B453" s="19">
        <v>0.9820000000000001</v>
      </c>
      <c r="C453" s="20">
        <v>18.100000000000001</v>
      </c>
      <c r="D453" s="17">
        <v>0.71299999999999997</v>
      </c>
      <c r="E453" s="17">
        <v>24</v>
      </c>
      <c r="F453" s="21">
        <v>666</v>
      </c>
      <c r="G453" s="17">
        <v>20.2</v>
      </c>
      <c r="H453" s="22">
        <v>6.6550000000000002</v>
      </c>
      <c r="I453" s="23">
        <v>17.73</v>
      </c>
      <c r="J453" s="17">
        <v>15.2</v>
      </c>
    </row>
    <row r="454" spans="1:10">
      <c r="A454" s="24">
        <v>9.14</v>
      </c>
      <c r="B454" s="19">
        <v>0.91800000000000004</v>
      </c>
      <c r="C454" s="20">
        <v>18.100000000000001</v>
      </c>
      <c r="D454" s="17">
        <v>0.71299999999999997</v>
      </c>
      <c r="E454" s="17">
        <v>24</v>
      </c>
      <c r="F454" s="21">
        <v>666</v>
      </c>
      <c r="G454" s="17">
        <v>20.2</v>
      </c>
      <c r="H454" s="22">
        <v>6.2969999999999997</v>
      </c>
      <c r="I454" s="23">
        <v>17.27</v>
      </c>
      <c r="J454" s="17">
        <v>16.100000000000001</v>
      </c>
    </row>
    <row r="455" spans="1:10">
      <c r="A455" s="24">
        <v>4.82</v>
      </c>
      <c r="B455" s="19">
        <v>0.99299999999999999</v>
      </c>
      <c r="C455" s="20">
        <v>18.100000000000001</v>
      </c>
      <c r="D455" s="17">
        <v>0.71299999999999997</v>
      </c>
      <c r="E455" s="17">
        <v>24</v>
      </c>
      <c r="F455" s="21">
        <v>666</v>
      </c>
      <c r="G455" s="17">
        <v>20.2</v>
      </c>
      <c r="H455" s="22">
        <v>7.3929999999999998</v>
      </c>
      <c r="I455" s="23">
        <v>16.739999999999998</v>
      </c>
      <c r="J455" s="17">
        <v>17.8</v>
      </c>
    </row>
    <row r="456" spans="1:10">
      <c r="A456" s="24">
        <v>3.43</v>
      </c>
      <c r="B456" s="19">
        <v>0.94099999999999995</v>
      </c>
      <c r="C456" s="20">
        <v>18.100000000000001</v>
      </c>
      <c r="D456" s="17">
        <v>0.71299999999999997</v>
      </c>
      <c r="E456" s="17">
        <v>24</v>
      </c>
      <c r="F456" s="21">
        <v>666</v>
      </c>
      <c r="G456" s="17">
        <v>20.2</v>
      </c>
      <c r="H456" s="22">
        <v>6.7279999999999998</v>
      </c>
      <c r="I456" s="23">
        <v>18.71</v>
      </c>
      <c r="J456" s="17">
        <v>14.9</v>
      </c>
    </row>
    <row r="457" spans="1:10">
      <c r="A457" s="24">
        <v>8.41</v>
      </c>
      <c r="B457" s="19">
        <v>0.86499999999999999</v>
      </c>
      <c r="C457" s="20">
        <v>18.100000000000001</v>
      </c>
      <c r="D457" s="17">
        <v>0.71299999999999997</v>
      </c>
      <c r="E457" s="17">
        <v>24</v>
      </c>
      <c r="F457" s="21">
        <v>666</v>
      </c>
      <c r="G457" s="17">
        <v>20.2</v>
      </c>
      <c r="H457" s="22">
        <v>6.5250000000000004</v>
      </c>
      <c r="I457" s="23">
        <v>18.13</v>
      </c>
      <c r="J457" s="17">
        <v>14.1</v>
      </c>
    </row>
    <row r="458" spans="1:10">
      <c r="A458" s="24">
        <v>8.74</v>
      </c>
      <c r="B458" s="19">
        <v>0.87900000000000011</v>
      </c>
      <c r="C458" s="20">
        <v>18.100000000000001</v>
      </c>
      <c r="D458" s="17">
        <v>0.71299999999999997</v>
      </c>
      <c r="E458" s="17">
        <v>24</v>
      </c>
      <c r="F458" s="21">
        <v>666</v>
      </c>
      <c r="G458" s="17">
        <v>20.2</v>
      </c>
      <c r="H458" s="22">
        <v>5.976</v>
      </c>
      <c r="I458" s="23">
        <v>19.010000000000002</v>
      </c>
      <c r="J458" s="17">
        <v>12.7</v>
      </c>
    </row>
    <row r="459" spans="1:10">
      <c r="A459" s="24">
        <v>0.71</v>
      </c>
      <c r="B459" s="19">
        <v>0.80299999999999994</v>
      </c>
      <c r="C459" s="20">
        <v>18.100000000000001</v>
      </c>
      <c r="D459" s="17">
        <v>0.71299999999999997</v>
      </c>
      <c r="E459" s="17">
        <v>24</v>
      </c>
      <c r="F459" s="21">
        <v>666</v>
      </c>
      <c r="G459" s="17">
        <v>20.2</v>
      </c>
      <c r="H459" s="22">
        <v>5.9359999999999999</v>
      </c>
      <c r="I459" s="23">
        <v>16.940000000000001</v>
      </c>
      <c r="J459" s="17">
        <v>13.5</v>
      </c>
    </row>
    <row r="460" spans="1:10">
      <c r="A460" s="24">
        <v>2.99</v>
      </c>
      <c r="B460" s="19">
        <v>0.83700000000000008</v>
      </c>
      <c r="C460" s="20">
        <v>18.100000000000001</v>
      </c>
      <c r="D460" s="17">
        <v>0.71299999999999997</v>
      </c>
      <c r="E460" s="17">
        <v>24</v>
      </c>
      <c r="F460" s="21">
        <v>666</v>
      </c>
      <c r="G460" s="17">
        <v>20.2</v>
      </c>
      <c r="H460" s="22">
        <v>6.3010000000000002</v>
      </c>
      <c r="I460" s="23">
        <v>16.23</v>
      </c>
      <c r="J460" s="17">
        <v>14.9</v>
      </c>
    </row>
    <row r="461" spans="1:10">
      <c r="A461" s="24">
        <v>7.81</v>
      </c>
      <c r="B461" s="19">
        <v>0.84400000000000008</v>
      </c>
      <c r="C461" s="20">
        <v>18.100000000000001</v>
      </c>
      <c r="D461" s="17">
        <v>0.71299999999999997</v>
      </c>
      <c r="E461" s="17">
        <v>24</v>
      </c>
      <c r="F461" s="21">
        <v>666</v>
      </c>
      <c r="G461" s="17">
        <v>20.2</v>
      </c>
      <c r="H461" s="22">
        <v>6.0810000000000004</v>
      </c>
      <c r="I461" s="23">
        <v>14.7</v>
      </c>
      <c r="J461" s="17">
        <v>20</v>
      </c>
    </row>
    <row r="462" spans="1:10">
      <c r="A462" s="24">
        <v>1.36</v>
      </c>
      <c r="B462" s="19">
        <v>0.9</v>
      </c>
      <c r="C462" s="20">
        <v>18.100000000000001</v>
      </c>
      <c r="D462" s="17">
        <v>0.71299999999999997</v>
      </c>
      <c r="E462" s="17">
        <v>24</v>
      </c>
      <c r="F462" s="21">
        <v>666</v>
      </c>
      <c r="G462" s="17">
        <v>20.2</v>
      </c>
      <c r="H462" s="22">
        <v>6.7009999999999996</v>
      </c>
      <c r="I462" s="23">
        <v>16.420000000000002</v>
      </c>
      <c r="J462" s="17">
        <v>16.399999999999999</v>
      </c>
    </row>
    <row r="463" spans="1:10">
      <c r="A463" s="24">
        <v>6.46</v>
      </c>
      <c r="B463" s="19">
        <v>0.88400000000000012</v>
      </c>
      <c r="C463" s="20">
        <v>18.100000000000001</v>
      </c>
      <c r="D463" s="17">
        <v>0.71299999999999997</v>
      </c>
      <c r="E463" s="17">
        <v>24</v>
      </c>
      <c r="F463" s="21">
        <v>666</v>
      </c>
      <c r="G463" s="17">
        <v>20.2</v>
      </c>
      <c r="H463" s="22">
        <v>6.3760000000000003</v>
      </c>
      <c r="I463" s="23">
        <v>14.65</v>
      </c>
      <c r="J463" s="17">
        <v>17.7</v>
      </c>
    </row>
    <row r="464" spans="1:10">
      <c r="A464" s="24">
        <v>3.43</v>
      </c>
      <c r="B464" s="19">
        <v>0.83000000000000007</v>
      </c>
      <c r="C464" s="20">
        <v>18.100000000000001</v>
      </c>
      <c r="D464" s="17">
        <v>0.71299999999999997</v>
      </c>
      <c r="E464" s="17">
        <v>24</v>
      </c>
      <c r="F464" s="21">
        <v>666</v>
      </c>
      <c r="G464" s="17">
        <v>20.2</v>
      </c>
      <c r="H464" s="22">
        <v>6.3170000000000002</v>
      </c>
      <c r="I464" s="23">
        <v>13.99</v>
      </c>
      <c r="J464" s="17">
        <v>19.5</v>
      </c>
    </row>
    <row r="465" spans="1:10">
      <c r="A465" s="24">
        <v>3.5</v>
      </c>
      <c r="B465" s="19">
        <v>0.89900000000000002</v>
      </c>
      <c r="C465" s="20">
        <v>18.100000000000001</v>
      </c>
      <c r="D465" s="17">
        <v>0.71299999999999997</v>
      </c>
      <c r="E465" s="17">
        <v>24</v>
      </c>
      <c r="F465" s="21">
        <v>666</v>
      </c>
      <c r="G465" s="17">
        <v>20.2</v>
      </c>
      <c r="H465" s="22">
        <v>6.5129999999999999</v>
      </c>
      <c r="I465" s="23">
        <v>10.29</v>
      </c>
      <c r="J465" s="17">
        <v>20.2</v>
      </c>
    </row>
    <row r="466" spans="1:10">
      <c r="A466" s="24">
        <v>3.22</v>
      </c>
      <c r="B466" s="19">
        <v>0.65400000000000003</v>
      </c>
      <c r="C466" s="20">
        <v>18.100000000000001</v>
      </c>
      <c r="D466" s="17">
        <v>0.65500000000000003</v>
      </c>
      <c r="E466" s="17">
        <v>24</v>
      </c>
      <c r="F466" s="21">
        <v>666</v>
      </c>
      <c r="G466" s="17">
        <v>20.2</v>
      </c>
      <c r="H466" s="22">
        <v>6.2089999999999996</v>
      </c>
      <c r="I466" s="23">
        <v>13.22</v>
      </c>
      <c r="J466" s="17">
        <v>21.4</v>
      </c>
    </row>
    <row r="467" spans="1:10">
      <c r="A467" s="24">
        <v>6.65</v>
      </c>
      <c r="B467" s="19">
        <v>0.48200000000000004</v>
      </c>
      <c r="C467" s="20">
        <v>18.100000000000001</v>
      </c>
      <c r="D467" s="17">
        <v>0.65500000000000003</v>
      </c>
      <c r="E467" s="17">
        <v>24</v>
      </c>
      <c r="F467" s="21">
        <v>666</v>
      </c>
      <c r="G467" s="17">
        <v>20.2</v>
      </c>
      <c r="H467" s="22">
        <v>5.7590000000000003</v>
      </c>
      <c r="I467" s="23">
        <v>14.13</v>
      </c>
      <c r="J467" s="17">
        <v>19.899999999999999</v>
      </c>
    </row>
    <row r="468" spans="1:10">
      <c r="A468" s="24">
        <v>9.25</v>
      </c>
      <c r="B468" s="19">
        <v>0.84700000000000009</v>
      </c>
      <c r="C468" s="20">
        <v>18.100000000000001</v>
      </c>
      <c r="D468" s="17">
        <v>0.65500000000000003</v>
      </c>
      <c r="E468" s="17">
        <v>24</v>
      </c>
      <c r="F468" s="21">
        <v>666</v>
      </c>
      <c r="G468" s="17">
        <v>20.2</v>
      </c>
      <c r="H468" s="22">
        <v>5.952</v>
      </c>
      <c r="I468" s="23">
        <v>17.149999999999999</v>
      </c>
      <c r="J468" s="17">
        <v>19</v>
      </c>
    </row>
    <row r="469" spans="1:10">
      <c r="A469" s="24">
        <v>8.9600000000000009</v>
      </c>
      <c r="B469" s="19">
        <v>0.94500000000000006</v>
      </c>
      <c r="C469" s="20">
        <v>18.100000000000001</v>
      </c>
      <c r="D469" s="17">
        <v>0.58399999999999996</v>
      </c>
      <c r="E469" s="17">
        <v>24</v>
      </c>
      <c r="F469" s="21">
        <v>666</v>
      </c>
      <c r="G469" s="17">
        <v>20.2</v>
      </c>
      <c r="H469" s="22">
        <v>6.0030000000000001</v>
      </c>
      <c r="I469" s="23">
        <v>21.32</v>
      </c>
      <c r="J469" s="17">
        <v>19.100000000000001</v>
      </c>
    </row>
    <row r="470" spans="1:10">
      <c r="A470" s="24">
        <v>7.56</v>
      </c>
      <c r="B470" s="19">
        <v>0.71</v>
      </c>
      <c r="C470" s="20">
        <v>18.100000000000001</v>
      </c>
      <c r="D470" s="17">
        <v>0.57999999999999996</v>
      </c>
      <c r="E470" s="17">
        <v>24</v>
      </c>
      <c r="F470" s="21">
        <v>666</v>
      </c>
      <c r="G470" s="17">
        <v>20.2</v>
      </c>
      <c r="H470" s="22">
        <v>5.9260000000000002</v>
      </c>
      <c r="I470" s="23">
        <v>18.13</v>
      </c>
      <c r="J470" s="17">
        <v>19.100000000000001</v>
      </c>
    </row>
    <row r="471" spans="1:10">
      <c r="A471" s="24">
        <v>4.9800000000000004</v>
      </c>
      <c r="B471" s="19">
        <v>0.56700000000000006</v>
      </c>
      <c r="C471" s="20">
        <v>18.100000000000001</v>
      </c>
      <c r="D471" s="17">
        <v>0.57999999999999996</v>
      </c>
      <c r="E471" s="17">
        <v>24</v>
      </c>
      <c r="F471" s="21">
        <v>666</v>
      </c>
      <c r="G471" s="17">
        <v>20.2</v>
      </c>
      <c r="H471" s="22">
        <v>5.7130000000000001</v>
      </c>
      <c r="I471" s="23">
        <v>14.76</v>
      </c>
      <c r="J471" s="17">
        <v>20.100000000000001</v>
      </c>
    </row>
    <row r="472" spans="1:10">
      <c r="A472" s="24">
        <v>8.5299999999999994</v>
      </c>
      <c r="B472" s="19">
        <v>0.84</v>
      </c>
      <c r="C472" s="20">
        <v>18.100000000000001</v>
      </c>
      <c r="D472" s="17">
        <v>0.57999999999999996</v>
      </c>
      <c r="E472" s="17">
        <v>24</v>
      </c>
      <c r="F472" s="21">
        <v>666</v>
      </c>
      <c r="G472" s="17">
        <v>20.2</v>
      </c>
      <c r="H472" s="22">
        <v>6.1669999999999998</v>
      </c>
      <c r="I472" s="23">
        <v>16.29</v>
      </c>
      <c r="J472" s="17">
        <v>19.899999999999999</v>
      </c>
    </row>
    <row r="473" spans="1:10">
      <c r="A473" s="24">
        <v>5.61</v>
      </c>
      <c r="B473" s="19">
        <v>0.90700000000000003</v>
      </c>
      <c r="C473" s="20">
        <v>18.100000000000001</v>
      </c>
      <c r="D473" s="17">
        <v>0.53200000000000003</v>
      </c>
      <c r="E473" s="17">
        <v>24</v>
      </c>
      <c r="F473" s="21">
        <v>666</v>
      </c>
      <c r="G473" s="17">
        <v>20.2</v>
      </c>
      <c r="H473" s="22">
        <v>6.2290000000000001</v>
      </c>
      <c r="I473" s="23">
        <v>12.87</v>
      </c>
      <c r="J473" s="17">
        <v>19.600000000000001</v>
      </c>
    </row>
    <row r="474" spans="1:10">
      <c r="A474" s="24">
        <v>1.05</v>
      </c>
      <c r="B474" s="19">
        <v>0.75</v>
      </c>
      <c r="C474" s="20">
        <v>18.100000000000001</v>
      </c>
      <c r="D474" s="17">
        <v>0.57999999999999996</v>
      </c>
      <c r="E474" s="17">
        <v>24</v>
      </c>
      <c r="F474" s="21">
        <v>666</v>
      </c>
      <c r="G474" s="17">
        <v>20.2</v>
      </c>
      <c r="H474" s="22">
        <v>6.4370000000000003</v>
      </c>
      <c r="I474" s="23">
        <v>14.36</v>
      </c>
      <c r="J474" s="17">
        <v>23.2</v>
      </c>
    </row>
    <row r="475" spans="1:10">
      <c r="A475" s="24">
        <v>2</v>
      </c>
      <c r="B475" s="19">
        <v>0.67599999999999993</v>
      </c>
      <c r="C475" s="20">
        <v>18.100000000000001</v>
      </c>
      <c r="D475" s="17">
        <v>0.61399999999999999</v>
      </c>
      <c r="E475" s="17">
        <v>24</v>
      </c>
      <c r="F475" s="21">
        <v>666</v>
      </c>
      <c r="G475" s="17">
        <v>20.2</v>
      </c>
      <c r="H475" s="22">
        <v>6.98</v>
      </c>
      <c r="I475" s="23">
        <v>11.66</v>
      </c>
      <c r="J475" s="17">
        <v>29.8</v>
      </c>
    </row>
    <row r="476" spans="1:10">
      <c r="A476" s="24">
        <v>6.14</v>
      </c>
      <c r="B476" s="19">
        <v>0.95400000000000007</v>
      </c>
      <c r="C476" s="20">
        <v>18.100000000000001</v>
      </c>
      <c r="D476" s="17">
        <v>0.58399999999999996</v>
      </c>
      <c r="E476" s="17">
        <v>24</v>
      </c>
      <c r="F476" s="21">
        <v>666</v>
      </c>
      <c r="G476" s="17">
        <v>20.2</v>
      </c>
      <c r="H476" s="22">
        <v>5.4269999999999996</v>
      </c>
      <c r="I476" s="23">
        <v>18.14</v>
      </c>
      <c r="J476" s="17">
        <v>13.8</v>
      </c>
    </row>
    <row r="477" spans="1:10">
      <c r="A477" s="24">
        <v>1.05</v>
      </c>
      <c r="B477" s="19">
        <v>0.97400000000000009</v>
      </c>
      <c r="C477" s="20">
        <v>18.100000000000001</v>
      </c>
      <c r="D477" s="17">
        <v>0.58399999999999996</v>
      </c>
      <c r="E477" s="17">
        <v>24</v>
      </c>
      <c r="F477" s="21">
        <v>666</v>
      </c>
      <c r="G477" s="17">
        <v>20.2</v>
      </c>
      <c r="H477" s="22">
        <v>6.1619999999999999</v>
      </c>
      <c r="I477" s="23">
        <v>24.1</v>
      </c>
      <c r="J477" s="17">
        <v>13.3</v>
      </c>
    </row>
    <row r="478" spans="1:10">
      <c r="A478" s="24">
        <v>2.87</v>
      </c>
      <c r="B478" s="19">
        <v>0.93599999999999994</v>
      </c>
      <c r="C478" s="20">
        <v>18.100000000000001</v>
      </c>
      <c r="D478" s="17">
        <v>0.61399999999999999</v>
      </c>
      <c r="E478" s="17">
        <v>24</v>
      </c>
      <c r="F478" s="21">
        <v>666</v>
      </c>
      <c r="G478" s="17">
        <v>20.2</v>
      </c>
      <c r="H478" s="22">
        <v>6.484</v>
      </c>
      <c r="I478" s="23">
        <v>18.68</v>
      </c>
      <c r="J478" s="17">
        <v>16.7</v>
      </c>
    </row>
    <row r="479" spans="1:10">
      <c r="A479" s="24">
        <v>1.42</v>
      </c>
      <c r="B479" s="19">
        <v>0.97299999999999998</v>
      </c>
      <c r="C479" s="20">
        <v>18.100000000000001</v>
      </c>
      <c r="D479" s="17">
        <v>0.61399999999999999</v>
      </c>
      <c r="E479" s="17">
        <v>24</v>
      </c>
      <c r="F479" s="21">
        <v>666</v>
      </c>
      <c r="G479" s="17">
        <v>20.2</v>
      </c>
      <c r="H479" s="22">
        <v>5.3040000000000003</v>
      </c>
      <c r="I479" s="23">
        <v>24.91</v>
      </c>
      <c r="J479" s="17">
        <v>12</v>
      </c>
    </row>
    <row r="480" spans="1:10">
      <c r="A480" s="24">
        <v>3.43</v>
      </c>
      <c r="B480" s="19">
        <v>0.96700000000000008</v>
      </c>
      <c r="C480" s="20">
        <v>18.100000000000001</v>
      </c>
      <c r="D480" s="17">
        <v>0.61399999999999999</v>
      </c>
      <c r="E480" s="17">
        <v>24</v>
      </c>
      <c r="F480" s="21">
        <v>666</v>
      </c>
      <c r="G480" s="17">
        <v>20.2</v>
      </c>
      <c r="H480" s="22">
        <v>6.1849999999999996</v>
      </c>
      <c r="I480" s="23">
        <v>18.03</v>
      </c>
      <c r="J480" s="17">
        <v>14.6</v>
      </c>
    </row>
    <row r="481" spans="1:10">
      <c r="A481" s="24">
        <v>6.57</v>
      </c>
      <c r="B481" s="19">
        <v>0.88</v>
      </c>
      <c r="C481" s="20">
        <v>18.100000000000001</v>
      </c>
      <c r="D481" s="17">
        <v>0.61399999999999999</v>
      </c>
      <c r="E481" s="17">
        <v>24</v>
      </c>
      <c r="F481" s="21">
        <v>666</v>
      </c>
      <c r="G481" s="17">
        <v>20.2</v>
      </c>
      <c r="H481" s="22">
        <v>6.2290000000000001</v>
      </c>
      <c r="I481" s="23">
        <v>13.11</v>
      </c>
      <c r="J481" s="17">
        <v>21.4</v>
      </c>
    </row>
    <row r="482" spans="1:10">
      <c r="A482" s="24">
        <v>1.18</v>
      </c>
      <c r="B482" s="19">
        <v>0.64700000000000002</v>
      </c>
      <c r="C482" s="20">
        <v>18.100000000000001</v>
      </c>
      <c r="D482" s="17">
        <v>0.53200000000000003</v>
      </c>
      <c r="E482" s="17">
        <v>24</v>
      </c>
      <c r="F482" s="21">
        <v>666</v>
      </c>
      <c r="G482" s="17">
        <v>20.2</v>
      </c>
      <c r="H482" s="22">
        <v>6.242</v>
      </c>
      <c r="I482" s="23">
        <v>10.74</v>
      </c>
      <c r="J482" s="17">
        <v>23</v>
      </c>
    </row>
    <row r="483" spans="1:10">
      <c r="A483" s="24">
        <v>4.82</v>
      </c>
      <c r="B483" s="19">
        <v>0.74900000000000011</v>
      </c>
      <c r="C483" s="20">
        <v>18.100000000000001</v>
      </c>
      <c r="D483" s="17">
        <v>0.53200000000000003</v>
      </c>
      <c r="E483" s="17">
        <v>24</v>
      </c>
      <c r="F483" s="21">
        <v>666</v>
      </c>
      <c r="G483" s="17">
        <v>20.2</v>
      </c>
      <c r="H483" s="22">
        <v>6.75</v>
      </c>
      <c r="I483" s="23">
        <v>7.74</v>
      </c>
      <c r="J483" s="17">
        <v>23.7</v>
      </c>
    </row>
    <row r="484" spans="1:10">
      <c r="A484" s="24">
        <v>2.66</v>
      </c>
      <c r="B484" s="19">
        <v>0.77</v>
      </c>
      <c r="C484" s="20">
        <v>18.100000000000001</v>
      </c>
      <c r="D484" s="17">
        <v>0.53200000000000003</v>
      </c>
      <c r="E484" s="17">
        <v>24</v>
      </c>
      <c r="F484" s="21">
        <v>666</v>
      </c>
      <c r="G484" s="17">
        <v>20.2</v>
      </c>
      <c r="H484" s="22">
        <v>7.0609999999999999</v>
      </c>
      <c r="I484" s="23">
        <v>7.01</v>
      </c>
      <c r="J484" s="17">
        <v>25</v>
      </c>
    </row>
    <row r="485" spans="1:10">
      <c r="A485" s="24">
        <v>3.65</v>
      </c>
      <c r="B485" s="19">
        <v>0.40299999999999997</v>
      </c>
      <c r="C485" s="20">
        <v>18.100000000000001</v>
      </c>
      <c r="D485" s="17">
        <v>0.53200000000000003</v>
      </c>
      <c r="E485" s="17">
        <v>24</v>
      </c>
      <c r="F485" s="21">
        <v>666</v>
      </c>
      <c r="G485" s="17">
        <v>20.2</v>
      </c>
      <c r="H485" s="22">
        <v>5.7619999999999996</v>
      </c>
      <c r="I485" s="23">
        <v>10.42</v>
      </c>
      <c r="J485" s="17">
        <v>21.8</v>
      </c>
    </row>
    <row r="486" spans="1:10">
      <c r="A486" s="24">
        <v>9.11</v>
      </c>
      <c r="B486" s="19">
        <v>0.41899999999999998</v>
      </c>
      <c r="C486" s="20">
        <v>18.100000000000001</v>
      </c>
      <c r="D486" s="17">
        <v>0.58299999999999996</v>
      </c>
      <c r="E486" s="17">
        <v>24</v>
      </c>
      <c r="F486" s="21">
        <v>666</v>
      </c>
      <c r="G486" s="17">
        <v>20.2</v>
      </c>
      <c r="H486" s="22">
        <v>5.8710000000000004</v>
      </c>
      <c r="I486" s="23">
        <v>13.34</v>
      </c>
      <c r="J486" s="17">
        <v>20.6</v>
      </c>
    </row>
    <row r="487" spans="1:10">
      <c r="A487" s="24">
        <v>7.26</v>
      </c>
      <c r="B487" s="19">
        <v>0.51900000000000002</v>
      </c>
      <c r="C487" s="20">
        <v>18.100000000000001</v>
      </c>
      <c r="D487" s="17">
        <v>0.58299999999999996</v>
      </c>
      <c r="E487" s="17">
        <v>24</v>
      </c>
      <c r="F487" s="21">
        <v>666</v>
      </c>
      <c r="G487" s="17">
        <v>20.2</v>
      </c>
      <c r="H487" s="22">
        <v>6.3120000000000003</v>
      </c>
      <c r="I487" s="23">
        <v>10.58</v>
      </c>
      <c r="J487" s="17">
        <v>21.2</v>
      </c>
    </row>
    <row r="488" spans="1:10">
      <c r="A488" s="24">
        <v>5.14</v>
      </c>
      <c r="B488" s="19">
        <v>0.79800000000000004</v>
      </c>
      <c r="C488" s="20">
        <v>18.100000000000001</v>
      </c>
      <c r="D488" s="17">
        <v>0.58299999999999996</v>
      </c>
      <c r="E488" s="17">
        <v>24</v>
      </c>
      <c r="F488" s="21">
        <v>666</v>
      </c>
      <c r="G488" s="17">
        <v>20.2</v>
      </c>
      <c r="H488" s="22">
        <v>6.1139999999999999</v>
      </c>
      <c r="I488" s="23">
        <v>14.98</v>
      </c>
      <c r="J488" s="17">
        <v>19.100000000000001</v>
      </c>
    </row>
    <row r="489" spans="1:10">
      <c r="A489" s="24">
        <v>4.1399999999999997</v>
      </c>
      <c r="B489" s="19">
        <v>0.53200000000000003</v>
      </c>
      <c r="C489" s="20">
        <v>18.100000000000001</v>
      </c>
      <c r="D489" s="17">
        <v>0.58299999999999996</v>
      </c>
      <c r="E489" s="17">
        <v>24</v>
      </c>
      <c r="F489" s="21">
        <v>666</v>
      </c>
      <c r="G489" s="17">
        <v>20.2</v>
      </c>
      <c r="H489" s="22">
        <v>5.9050000000000002</v>
      </c>
      <c r="I489" s="23">
        <v>11.45</v>
      </c>
      <c r="J489" s="17">
        <v>20.6</v>
      </c>
    </row>
    <row r="490" spans="1:10">
      <c r="A490" s="24">
        <v>0.2</v>
      </c>
      <c r="B490" s="19">
        <v>0.92700000000000005</v>
      </c>
      <c r="C490" s="20">
        <v>27.74</v>
      </c>
      <c r="D490" s="17">
        <v>0.60899999999999999</v>
      </c>
      <c r="E490" s="17">
        <v>4</v>
      </c>
      <c r="F490" s="21">
        <v>711</v>
      </c>
      <c r="G490" s="17">
        <v>20.100000000000001</v>
      </c>
      <c r="H490" s="22">
        <v>5.4539999999999997</v>
      </c>
      <c r="I490" s="23">
        <v>18.059999999999999</v>
      </c>
      <c r="J490" s="17">
        <v>15.2</v>
      </c>
    </row>
    <row r="491" spans="1:10">
      <c r="A491" s="24">
        <v>9.02</v>
      </c>
      <c r="B491" s="19">
        <v>0.98299999999999998</v>
      </c>
      <c r="C491" s="20">
        <v>27.74</v>
      </c>
      <c r="D491" s="17">
        <v>0.60899999999999999</v>
      </c>
      <c r="E491" s="17">
        <v>4</v>
      </c>
      <c r="F491" s="21">
        <v>711</v>
      </c>
      <c r="G491" s="17">
        <v>20.100000000000001</v>
      </c>
      <c r="H491" s="22">
        <v>5.4139999999999997</v>
      </c>
      <c r="I491" s="23">
        <v>23.97</v>
      </c>
      <c r="J491" s="17">
        <v>7</v>
      </c>
    </row>
    <row r="492" spans="1:10">
      <c r="A492" s="24">
        <v>5.98</v>
      </c>
      <c r="B492" s="19">
        <v>0.98</v>
      </c>
      <c r="C492" s="20">
        <v>27.74</v>
      </c>
      <c r="D492" s="17">
        <v>0.60899999999999999</v>
      </c>
      <c r="E492" s="17">
        <v>4</v>
      </c>
      <c r="F492" s="21">
        <v>711</v>
      </c>
      <c r="G492" s="17">
        <v>20.100000000000001</v>
      </c>
      <c r="H492" s="22">
        <v>5.093</v>
      </c>
      <c r="I492" s="23">
        <v>29.68</v>
      </c>
      <c r="J492" s="17">
        <v>8.1</v>
      </c>
    </row>
    <row r="493" spans="1:10">
      <c r="A493" s="24">
        <v>1.43</v>
      </c>
      <c r="B493" s="19">
        <v>0.98799999999999999</v>
      </c>
      <c r="C493" s="20">
        <v>27.74</v>
      </c>
      <c r="D493" s="17">
        <v>0.60899999999999999</v>
      </c>
      <c r="E493" s="17">
        <v>4</v>
      </c>
      <c r="F493" s="21">
        <v>711</v>
      </c>
      <c r="G493" s="17">
        <v>20.100000000000001</v>
      </c>
      <c r="H493" s="22">
        <v>5.9829999999999997</v>
      </c>
      <c r="I493" s="23">
        <v>18.07</v>
      </c>
      <c r="J493" s="17">
        <v>13.6</v>
      </c>
    </row>
    <row r="494" spans="1:10">
      <c r="A494" s="24">
        <v>4.49</v>
      </c>
      <c r="B494" s="19">
        <v>0.83499999999999996</v>
      </c>
      <c r="C494" s="20">
        <v>27.74</v>
      </c>
      <c r="D494" s="17">
        <v>0.60899999999999999</v>
      </c>
      <c r="E494" s="17">
        <v>4</v>
      </c>
      <c r="F494" s="21">
        <v>711</v>
      </c>
      <c r="G494" s="17">
        <v>20.100000000000001</v>
      </c>
      <c r="H494" s="22">
        <v>5.9829999999999997</v>
      </c>
      <c r="I494" s="23">
        <v>13.35</v>
      </c>
      <c r="J494" s="17">
        <v>20.100000000000001</v>
      </c>
    </row>
    <row r="495" spans="1:10">
      <c r="A495" s="24">
        <v>8.6199999999999992</v>
      </c>
      <c r="B495" s="19">
        <v>0.54</v>
      </c>
      <c r="C495" s="20">
        <v>9.69</v>
      </c>
      <c r="D495" s="17">
        <v>0.58499999999999996</v>
      </c>
      <c r="E495" s="17">
        <v>6</v>
      </c>
      <c r="F495" s="21">
        <v>391</v>
      </c>
      <c r="G495" s="17">
        <v>19.2</v>
      </c>
      <c r="H495" s="22">
        <v>5.7069999999999999</v>
      </c>
      <c r="I495" s="23">
        <v>12.01</v>
      </c>
      <c r="J495" s="17">
        <v>21.8</v>
      </c>
    </row>
    <row r="496" spans="1:10">
      <c r="A496" s="24">
        <v>3.43</v>
      </c>
      <c r="B496" s="19">
        <v>0.42600000000000005</v>
      </c>
      <c r="C496" s="20">
        <v>9.69</v>
      </c>
      <c r="D496" s="17">
        <v>0.58499999999999996</v>
      </c>
      <c r="E496" s="17">
        <v>6</v>
      </c>
      <c r="F496" s="21">
        <v>391</v>
      </c>
      <c r="G496" s="17">
        <v>19.2</v>
      </c>
      <c r="H496" s="22">
        <v>5.9260000000000002</v>
      </c>
      <c r="I496" s="23">
        <v>13.59</v>
      </c>
      <c r="J496" s="17">
        <v>24.5</v>
      </c>
    </row>
    <row r="497" spans="1:16">
      <c r="A497" s="24">
        <v>7.02</v>
      </c>
      <c r="B497" s="19">
        <v>0.28800000000000003</v>
      </c>
      <c r="C497" s="20">
        <v>9.69</v>
      </c>
      <c r="D497" s="17">
        <v>0.58499999999999996</v>
      </c>
      <c r="E497" s="17">
        <v>6</v>
      </c>
      <c r="F497" s="21">
        <v>391</v>
      </c>
      <c r="G497" s="17">
        <v>19.2</v>
      </c>
      <c r="H497" s="22">
        <v>5.67</v>
      </c>
      <c r="I497" s="23">
        <v>17.600000000000001</v>
      </c>
      <c r="J497" s="17">
        <v>23.1</v>
      </c>
    </row>
    <row r="498" spans="1:16">
      <c r="A498" s="24">
        <v>6.43</v>
      </c>
      <c r="B498" s="19">
        <v>0.72900000000000009</v>
      </c>
      <c r="C498" s="20">
        <v>9.69</v>
      </c>
      <c r="D498" s="17">
        <v>0.58499999999999996</v>
      </c>
      <c r="E498" s="17">
        <v>6</v>
      </c>
      <c r="F498" s="21">
        <v>391</v>
      </c>
      <c r="G498" s="17">
        <v>19.2</v>
      </c>
      <c r="H498" s="22">
        <v>5.39</v>
      </c>
      <c r="I498" s="23">
        <v>21.14</v>
      </c>
      <c r="J498" s="17">
        <v>19.7</v>
      </c>
    </row>
    <row r="499" spans="1:16">
      <c r="A499" s="24">
        <v>9.0399999999999991</v>
      </c>
      <c r="B499" s="19">
        <v>0.70599999999999996</v>
      </c>
      <c r="C499" s="20">
        <v>9.69</v>
      </c>
      <c r="D499" s="17">
        <v>0.58499999999999996</v>
      </c>
      <c r="E499" s="17">
        <v>6</v>
      </c>
      <c r="F499" s="21">
        <v>391</v>
      </c>
      <c r="G499" s="17">
        <v>19.2</v>
      </c>
      <c r="H499" s="22">
        <v>5.7939999999999996</v>
      </c>
      <c r="I499" s="23">
        <v>14.1</v>
      </c>
      <c r="J499" s="17">
        <v>18.3</v>
      </c>
    </row>
    <row r="500" spans="1:16">
      <c r="A500" s="24">
        <v>3.49</v>
      </c>
      <c r="B500" s="19">
        <v>0.65300000000000002</v>
      </c>
      <c r="C500" s="20">
        <v>9.69</v>
      </c>
      <c r="D500" s="17">
        <v>0.58499999999999996</v>
      </c>
      <c r="E500" s="17">
        <v>6</v>
      </c>
      <c r="F500" s="21">
        <v>391</v>
      </c>
      <c r="G500" s="17">
        <v>19.2</v>
      </c>
      <c r="H500" s="22">
        <v>6.0190000000000001</v>
      </c>
      <c r="I500" s="23">
        <v>12.92</v>
      </c>
      <c r="J500" s="17">
        <v>21.2</v>
      </c>
    </row>
    <row r="501" spans="1:16">
      <c r="A501" s="24">
        <v>2.37</v>
      </c>
      <c r="B501" s="19">
        <v>0.73499999999999999</v>
      </c>
      <c r="C501" s="20">
        <v>9.69</v>
      </c>
      <c r="D501" s="17">
        <v>0.58499999999999996</v>
      </c>
      <c r="E501" s="17">
        <v>6</v>
      </c>
      <c r="F501" s="21">
        <v>391</v>
      </c>
      <c r="G501" s="17">
        <v>19.2</v>
      </c>
      <c r="H501" s="22">
        <v>5.569</v>
      </c>
      <c r="I501" s="23">
        <v>15.1</v>
      </c>
      <c r="J501" s="17">
        <v>17.5</v>
      </c>
    </row>
    <row r="502" spans="1:16">
      <c r="A502" s="24">
        <v>3</v>
      </c>
      <c r="B502" s="19">
        <v>0.79700000000000004</v>
      </c>
      <c r="C502" s="20">
        <v>9.69</v>
      </c>
      <c r="D502" s="17">
        <v>0.58499999999999996</v>
      </c>
      <c r="E502" s="17">
        <v>6</v>
      </c>
      <c r="F502" s="21">
        <v>391</v>
      </c>
      <c r="G502" s="17">
        <v>19.2</v>
      </c>
      <c r="H502" s="22">
        <v>6.0270000000000001</v>
      </c>
      <c r="I502" s="23">
        <v>14.33</v>
      </c>
      <c r="J502" s="17">
        <v>16.8</v>
      </c>
    </row>
    <row r="503" spans="1:16">
      <c r="A503" s="24">
        <v>4.4800000000000004</v>
      </c>
      <c r="B503" s="19">
        <v>0.69099999999999995</v>
      </c>
      <c r="C503" s="20">
        <v>11.93</v>
      </c>
      <c r="D503" s="17">
        <v>0.57299999999999995</v>
      </c>
      <c r="E503" s="17">
        <v>1</v>
      </c>
      <c r="F503" s="21">
        <v>273</v>
      </c>
      <c r="G503" s="17">
        <v>21</v>
      </c>
      <c r="H503" s="22">
        <v>6.593</v>
      </c>
      <c r="I503" s="23">
        <v>9.67</v>
      </c>
      <c r="J503" s="17">
        <v>22.4</v>
      </c>
    </row>
    <row r="504" spans="1:16">
      <c r="A504" s="24">
        <v>0.46</v>
      </c>
      <c r="B504" s="19">
        <v>0.76700000000000002</v>
      </c>
      <c r="C504" s="20">
        <v>11.93</v>
      </c>
      <c r="D504" s="17">
        <v>0.57299999999999995</v>
      </c>
      <c r="E504" s="17">
        <v>1</v>
      </c>
      <c r="F504" s="21">
        <v>273</v>
      </c>
      <c r="G504" s="17">
        <v>21</v>
      </c>
      <c r="H504" s="22">
        <v>6.12</v>
      </c>
      <c r="I504" s="23">
        <v>9.08</v>
      </c>
      <c r="J504" s="17">
        <v>20.6</v>
      </c>
    </row>
    <row r="505" spans="1:16">
      <c r="A505" s="24">
        <v>9.42</v>
      </c>
      <c r="B505" s="19">
        <v>0.91</v>
      </c>
      <c r="C505" s="20">
        <v>11.93</v>
      </c>
      <c r="D505" s="17">
        <v>0.57299999999999995</v>
      </c>
      <c r="E505" s="17">
        <v>1</v>
      </c>
      <c r="F505" s="21">
        <v>273</v>
      </c>
      <c r="G505" s="17">
        <v>21</v>
      </c>
      <c r="H505" s="22">
        <v>6.976</v>
      </c>
      <c r="I505" s="23">
        <v>5.64</v>
      </c>
      <c r="J505" s="17">
        <v>23.9</v>
      </c>
      <c r="L505">
        <f>21+32+74+122+133+32+31+24+6+9+6+16</f>
        <v>506</v>
      </c>
    </row>
    <row r="506" spans="1:16" ht="15.75" thickBot="1">
      <c r="A506" s="24">
        <v>6.94</v>
      </c>
      <c r="B506" s="19">
        <v>0.89300000000000002</v>
      </c>
      <c r="C506" s="20">
        <v>11.93</v>
      </c>
      <c r="D506" s="17">
        <v>0.57299999999999995</v>
      </c>
      <c r="E506" s="17">
        <v>1</v>
      </c>
      <c r="F506" s="21">
        <v>273</v>
      </c>
      <c r="G506" s="17">
        <v>21</v>
      </c>
      <c r="H506" s="22">
        <v>6.7939999999999996</v>
      </c>
      <c r="I506" s="23">
        <v>6.48</v>
      </c>
      <c r="J506" s="17">
        <v>22</v>
      </c>
      <c r="O506" s="13"/>
      <c r="P506" s="13"/>
    </row>
    <row r="507" spans="1:16">
      <c r="A507" s="24">
        <v>9.5399999999999991</v>
      </c>
      <c r="B507" s="19">
        <v>0.80799999999999994</v>
      </c>
      <c r="C507" s="20">
        <v>11.93</v>
      </c>
      <c r="D507" s="17">
        <v>0.57299999999999995</v>
      </c>
      <c r="E507" s="17">
        <v>1</v>
      </c>
      <c r="F507" s="21">
        <v>273</v>
      </c>
      <c r="G507" s="17">
        <v>21</v>
      </c>
      <c r="H507" s="22">
        <v>6.03</v>
      </c>
      <c r="I507" s="23">
        <v>7.88</v>
      </c>
      <c r="J507" s="17">
        <v>11.9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5074F-2619-4E6B-9820-87372D66DD58}">
  <dimension ref="A1:R507"/>
  <sheetViews>
    <sheetView topLeftCell="A486" workbookViewId="0">
      <selection activeCell="Q1" sqref="Q1"/>
    </sheetView>
  </sheetViews>
  <sheetFormatPr defaultRowHeight="15"/>
  <cols>
    <col min="2" max="2" width="10.140625" bestFit="1" customWidth="1"/>
    <col min="3" max="3" width="0" hidden="1" customWidth="1"/>
  </cols>
  <sheetData>
    <row r="1" spans="1:18">
      <c r="A1" s="2" t="s">
        <v>2</v>
      </c>
      <c r="B1" s="2" t="s">
        <v>126</v>
      </c>
      <c r="C1" s="2" t="s">
        <v>9</v>
      </c>
      <c r="E1" s="2" t="s">
        <v>2</v>
      </c>
      <c r="F1" s="2" t="s">
        <v>4</v>
      </c>
      <c r="G1" s="2" t="s">
        <v>126</v>
      </c>
      <c r="I1" s="2" t="s">
        <v>3</v>
      </c>
      <c r="J1" s="2" t="s">
        <v>6</v>
      </c>
      <c r="K1" s="2" t="s">
        <v>5</v>
      </c>
      <c r="L1" s="2" t="s">
        <v>25</v>
      </c>
      <c r="M1" s="2" t="s">
        <v>7</v>
      </c>
      <c r="N1" s="2" t="s">
        <v>8</v>
      </c>
      <c r="O1" s="2" t="s">
        <v>1</v>
      </c>
      <c r="P1" s="2" t="s">
        <v>4</v>
      </c>
      <c r="Q1" s="2" t="s">
        <v>2</v>
      </c>
      <c r="R1" s="2" t="s">
        <v>126</v>
      </c>
    </row>
    <row r="2" spans="1:18">
      <c r="A2" s="23">
        <v>4.9800000000000004</v>
      </c>
      <c r="B2" s="17">
        <f>C2*1000</f>
        <v>24000</v>
      </c>
      <c r="C2" s="17">
        <v>24</v>
      </c>
      <c r="E2" s="23">
        <v>4.9800000000000004</v>
      </c>
      <c r="F2" s="22">
        <v>6.5750000000000002</v>
      </c>
      <c r="G2" s="1">
        <v>24000</v>
      </c>
      <c r="I2" s="18">
        <v>4.3</v>
      </c>
      <c r="J2" s="19">
        <v>0.65200000000000002</v>
      </c>
      <c r="K2" s="20">
        <v>2.31</v>
      </c>
      <c r="L2" s="17">
        <v>0.53800000000000003</v>
      </c>
      <c r="M2" s="17">
        <v>1</v>
      </c>
      <c r="N2" s="21">
        <v>296</v>
      </c>
      <c r="O2" s="17">
        <v>15.3</v>
      </c>
      <c r="P2" s="22">
        <v>6.5750000000000002</v>
      </c>
      <c r="Q2" s="23">
        <v>4.9800000000000004</v>
      </c>
      <c r="R2" s="1">
        <v>24000</v>
      </c>
    </row>
    <row r="3" spans="1:18">
      <c r="A3" s="23">
        <v>9.14</v>
      </c>
      <c r="B3" s="17">
        <f t="shared" ref="B3:B66" si="0">C3*1000</f>
        <v>21600</v>
      </c>
      <c r="C3" s="17">
        <v>21.6</v>
      </c>
      <c r="E3" s="23">
        <v>9.14</v>
      </c>
      <c r="F3" s="22">
        <v>6.4210000000000003</v>
      </c>
      <c r="G3" s="1">
        <v>21600</v>
      </c>
      <c r="I3" s="24">
        <v>4.3099999999999996</v>
      </c>
      <c r="J3" s="19">
        <v>0.78900000000000003</v>
      </c>
      <c r="K3" s="20">
        <v>7.07</v>
      </c>
      <c r="L3" s="17">
        <v>0.46899999999999997</v>
      </c>
      <c r="M3" s="17">
        <v>2</v>
      </c>
      <c r="N3" s="21">
        <v>242</v>
      </c>
      <c r="O3" s="17">
        <v>17.8</v>
      </c>
      <c r="P3" s="22">
        <v>6.4210000000000003</v>
      </c>
      <c r="Q3" s="23">
        <v>9.14</v>
      </c>
      <c r="R3" s="1">
        <v>21600</v>
      </c>
    </row>
    <row r="4" spans="1:18">
      <c r="A4" s="23">
        <v>4.03</v>
      </c>
      <c r="B4" s="17">
        <f t="shared" si="0"/>
        <v>34700</v>
      </c>
      <c r="C4" s="17">
        <v>34.700000000000003</v>
      </c>
      <c r="E4" s="23">
        <v>4.03</v>
      </c>
      <c r="F4" s="22">
        <v>7.1849999999999996</v>
      </c>
      <c r="G4" s="1">
        <v>34700</v>
      </c>
      <c r="I4" s="24">
        <v>7.87</v>
      </c>
      <c r="J4" s="19">
        <v>0.61099999999999999</v>
      </c>
      <c r="K4" s="20">
        <v>7.07</v>
      </c>
      <c r="L4" s="17">
        <v>0.46899999999999997</v>
      </c>
      <c r="M4" s="17">
        <v>2</v>
      </c>
      <c r="N4" s="21">
        <v>242</v>
      </c>
      <c r="O4" s="17">
        <v>17.8</v>
      </c>
      <c r="P4" s="22">
        <v>7.1849999999999996</v>
      </c>
      <c r="Q4" s="23">
        <v>4.03</v>
      </c>
      <c r="R4" s="1">
        <v>34700</v>
      </c>
    </row>
    <row r="5" spans="1:18">
      <c r="A5" s="23">
        <v>2.94</v>
      </c>
      <c r="B5" s="17">
        <f t="shared" si="0"/>
        <v>33400</v>
      </c>
      <c r="C5" s="17">
        <v>33.4</v>
      </c>
      <c r="E5" s="23">
        <v>2.94</v>
      </c>
      <c r="F5" s="22">
        <v>6.9980000000000002</v>
      </c>
      <c r="G5" s="1">
        <v>33400</v>
      </c>
      <c r="I5" s="24">
        <v>6.47</v>
      </c>
      <c r="J5" s="19">
        <v>0.45799999999999996</v>
      </c>
      <c r="K5" s="20">
        <v>2.1800000000000002</v>
      </c>
      <c r="L5" s="17">
        <v>0.45800000000000002</v>
      </c>
      <c r="M5" s="17">
        <v>3</v>
      </c>
      <c r="N5" s="21">
        <v>222</v>
      </c>
      <c r="O5" s="17">
        <v>18.7</v>
      </c>
      <c r="P5" s="22">
        <v>6.9980000000000002</v>
      </c>
      <c r="Q5" s="23">
        <v>2.94</v>
      </c>
      <c r="R5" s="1">
        <v>33400</v>
      </c>
    </row>
    <row r="6" spans="1:18">
      <c r="A6" s="23">
        <v>5.33</v>
      </c>
      <c r="B6" s="17">
        <f t="shared" si="0"/>
        <v>36200</v>
      </c>
      <c r="C6" s="17">
        <v>36.200000000000003</v>
      </c>
      <c r="E6" s="23">
        <v>5.33</v>
      </c>
      <c r="F6" s="22">
        <v>7.1470000000000002</v>
      </c>
      <c r="G6" s="1">
        <v>36200</v>
      </c>
      <c r="I6" s="24">
        <v>5.24</v>
      </c>
      <c r="J6" s="19">
        <v>0.54200000000000004</v>
      </c>
      <c r="K6" s="20">
        <v>2.1800000000000002</v>
      </c>
      <c r="L6" s="17">
        <v>0.45800000000000002</v>
      </c>
      <c r="M6" s="17">
        <v>3</v>
      </c>
      <c r="N6" s="21">
        <v>222</v>
      </c>
      <c r="O6" s="17">
        <v>18.7</v>
      </c>
      <c r="P6" s="22">
        <v>7.1470000000000002</v>
      </c>
      <c r="Q6" s="23">
        <v>5.33</v>
      </c>
      <c r="R6" s="1">
        <v>36200</v>
      </c>
    </row>
    <row r="7" spans="1:18">
      <c r="A7" s="23">
        <v>5.21</v>
      </c>
      <c r="B7" s="17">
        <f t="shared" si="0"/>
        <v>28700</v>
      </c>
      <c r="C7" s="17">
        <v>28.7</v>
      </c>
      <c r="E7" s="23">
        <v>5.21</v>
      </c>
      <c r="F7" s="22">
        <v>6.43</v>
      </c>
      <c r="G7" s="1">
        <v>28700</v>
      </c>
      <c r="I7" s="24">
        <v>9.75</v>
      </c>
      <c r="J7" s="19">
        <v>0.58700000000000008</v>
      </c>
      <c r="K7" s="20">
        <v>2.1800000000000002</v>
      </c>
      <c r="L7" s="17">
        <v>0.45800000000000002</v>
      </c>
      <c r="M7" s="17">
        <v>3</v>
      </c>
      <c r="N7" s="21">
        <v>222</v>
      </c>
      <c r="O7" s="17">
        <v>18.7</v>
      </c>
      <c r="P7" s="22">
        <v>6.43</v>
      </c>
      <c r="Q7" s="23">
        <v>5.21</v>
      </c>
      <c r="R7" s="1">
        <v>28700</v>
      </c>
    </row>
    <row r="8" spans="1:18">
      <c r="A8" s="23">
        <v>12.43</v>
      </c>
      <c r="B8" s="17">
        <f t="shared" si="0"/>
        <v>22900</v>
      </c>
      <c r="C8" s="17">
        <v>22.9</v>
      </c>
      <c r="E8" s="23">
        <v>12.43</v>
      </c>
      <c r="F8" s="22">
        <v>6.0119999999999996</v>
      </c>
      <c r="G8" s="1">
        <v>22900</v>
      </c>
      <c r="I8" s="24">
        <v>9.42</v>
      </c>
      <c r="J8" s="19">
        <v>0.66599999999999993</v>
      </c>
      <c r="K8" s="20">
        <v>7.87</v>
      </c>
      <c r="L8" s="17">
        <v>0.52400000000000002</v>
      </c>
      <c r="M8" s="17">
        <v>5</v>
      </c>
      <c r="N8" s="21">
        <v>311</v>
      </c>
      <c r="O8" s="17">
        <v>15.2</v>
      </c>
      <c r="P8" s="22">
        <v>6.0119999999999996</v>
      </c>
      <c r="Q8" s="23">
        <v>12.43</v>
      </c>
      <c r="R8" s="1">
        <v>22900</v>
      </c>
    </row>
    <row r="9" spans="1:18">
      <c r="A9" s="23">
        <v>19.149999999999999</v>
      </c>
      <c r="B9" s="17">
        <f t="shared" si="0"/>
        <v>27100</v>
      </c>
      <c r="C9" s="17">
        <v>27.1</v>
      </c>
      <c r="E9" s="23">
        <v>19.149999999999999</v>
      </c>
      <c r="F9" s="22">
        <v>6.1719999999999997</v>
      </c>
      <c r="G9" s="1">
        <v>27100</v>
      </c>
      <c r="I9" s="24">
        <v>2.76</v>
      </c>
      <c r="J9" s="19">
        <v>0.96099999999999997</v>
      </c>
      <c r="K9" s="20">
        <v>7.87</v>
      </c>
      <c r="L9" s="17">
        <v>0.52400000000000002</v>
      </c>
      <c r="M9" s="17">
        <v>5</v>
      </c>
      <c r="N9" s="21">
        <v>311</v>
      </c>
      <c r="O9" s="17">
        <v>15.2</v>
      </c>
      <c r="P9" s="22">
        <v>6.1719999999999997</v>
      </c>
      <c r="Q9" s="23">
        <v>19.149999999999999</v>
      </c>
      <c r="R9" s="1">
        <v>27100</v>
      </c>
    </row>
    <row r="10" spans="1:18">
      <c r="A10" s="23">
        <v>29.93</v>
      </c>
      <c r="B10" s="17">
        <f t="shared" si="0"/>
        <v>16500</v>
      </c>
      <c r="C10" s="17">
        <v>16.5</v>
      </c>
      <c r="E10" s="23">
        <v>29.93</v>
      </c>
      <c r="F10" s="22">
        <v>5.6310000000000002</v>
      </c>
      <c r="G10" s="1">
        <v>16500</v>
      </c>
      <c r="I10" s="24">
        <v>7.66</v>
      </c>
      <c r="J10" s="19">
        <v>1</v>
      </c>
      <c r="K10" s="20">
        <v>7.87</v>
      </c>
      <c r="L10" s="17">
        <v>0.52400000000000002</v>
      </c>
      <c r="M10" s="17">
        <v>5</v>
      </c>
      <c r="N10" s="21">
        <v>311</v>
      </c>
      <c r="O10" s="17">
        <v>15.2</v>
      </c>
      <c r="P10" s="22">
        <v>5.6310000000000002</v>
      </c>
      <c r="Q10" s="23">
        <v>29.93</v>
      </c>
      <c r="R10" s="1">
        <v>16500</v>
      </c>
    </row>
    <row r="11" spans="1:18">
      <c r="A11" s="23">
        <v>17.100000000000001</v>
      </c>
      <c r="B11" s="17">
        <f t="shared" si="0"/>
        <v>18900</v>
      </c>
      <c r="C11" s="17">
        <v>18.899999999999999</v>
      </c>
      <c r="E11" s="23">
        <v>17.100000000000001</v>
      </c>
      <c r="F11" s="22">
        <v>6.0039999999999996</v>
      </c>
      <c r="G11" s="1">
        <v>18900</v>
      </c>
      <c r="I11" s="24">
        <v>1.1200000000000001</v>
      </c>
      <c r="J11" s="19">
        <v>0.8590000000000001</v>
      </c>
      <c r="K11" s="20">
        <v>7.87</v>
      </c>
      <c r="L11" s="17">
        <v>0.52400000000000002</v>
      </c>
      <c r="M11" s="17">
        <v>5</v>
      </c>
      <c r="N11" s="21">
        <v>311</v>
      </c>
      <c r="O11" s="17">
        <v>15.2</v>
      </c>
      <c r="P11" s="22">
        <v>6.0039999999999996</v>
      </c>
      <c r="Q11" s="23">
        <v>17.100000000000001</v>
      </c>
      <c r="R11" s="1">
        <v>18900</v>
      </c>
    </row>
    <row r="12" spans="1:18">
      <c r="A12" s="23">
        <v>20.45</v>
      </c>
      <c r="B12" s="17">
        <f t="shared" si="0"/>
        <v>15000</v>
      </c>
      <c r="C12" s="17">
        <v>15</v>
      </c>
      <c r="E12" s="23">
        <v>20.45</v>
      </c>
      <c r="F12" s="22">
        <v>6.3769999999999998</v>
      </c>
      <c r="G12" s="1">
        <v>15000</v>
      </c>
      <c r="I12" s="24">
        <v>7.52</v>
      </c>
      <c r="J12" s="19">
        <v>0.94299999999999995</v>
      </c>
      <c r="K12" s="20">
        <v>7.87</v>
      </c>
      <c r="L12" s="17">
        <v>0.52400000000000002</v>
      </c>
      <c r="M12" s="17">
        <v>5</v>
      </c>
      <c r="N12" s="21">
        <v>311</v>
      </c>
      <c r="O12" s="17">
        <v>15.2</v>
      </c>
      <c r="P12" s="22">
        <v>6.3769999999999998</v>
      </c>
      <c r="Q12" s="23">
        <v>20.45</v>
      </c>
      <c r="R12" s="1">
        <v>15000</v>
      </c>
    </row>
    <row r="13" spans="1:18">
      <c r="A13" s="23">
        <v>13.27</v>
      </c>
      <c r="B13" s="17">
        <f t="shared" si="0"/>
        <v>18900</v>
      </c>
      <c r="C13" s="17">
        <v>18.899999999999999</v>
      </c>
      <c r="E13" s="23">
        <v>13.27</v>
      </c>
      <c r="F13" s="22">
        <v>6.0090000000000003</v>
      </c>
      <c r="G13" s="1">
        <v>18900</v>
      </c>
      <c r="I13" s="24">
        <v>1.55</v>
      </c>
      <c r="J13" s="19">
        <v>0.82900000000000007</v>
      </c>
      <c r="K13" s="20">
        <v>7.87</v>
      </c>
      <c r="L13" s="17">
        <v>0.52400000000000002</v>
      </c>
      <c r="M13" s="17">
        <v>5</v>
      </c>
      <c r="N13" s="21">
        <v>311</v>
      </c>
      <c r="O13" s="17">
        <v>15.2</v>
      </c>
      <c r="P13" s="22">
        <v>6.0090000000000003</v>
      </c>
      <c r="Q13" s="23">
        <v>13.27</v>
      </c>
      <c r="R13" s="1">
        <v>18900</v>
      </c>
    </row>
    <row r="14" spans="1:18">
      <c r="A14" s="23">
        <v>15.71</v>
      </c>
      <c r="B14" s="17">
        <f t="shared" si="0"/>
        <v>21700</v>
      </c>
      <c r="C14" s="17">
        <v>21.7</v>
      </c>
      <c r="E14" s="23">
        <v>15.71</v>
      </c>
      <c r="F14" s="22">
        <v>5.8890000000000002</v>
      </c>
      <c r="G14" s="1">
        <v>21700</v>
      </c>
      <c r="I14" s="24">
        <v>3.7</v>
      </c>
      <c r="J14" s="19">
        <v>0.39</v>
      </c>
      <c r="K14" s="20">
        <v>7.87</v>
      </c>
      <c r="L14" s="17">
        <v>0.52400000000000002</v>
      </c>
      <c r="M14" s="17">
        <v>5</v>
      </c>
      <c r="N14" s="21">
        <v>311</v>
      </c>
      <c r="O14" s="17">
        <v>15.2</v>
      </c>
      <c r="P14" s="22">
        <v>5.8890000000000002</v>
      </c>
      <c r="Q14" s="23">
        <v>15.71</v>
      </c>
      <c r="R14" s="1">
        <v>21700</v>
      </c>
    </row>
    <row r="15" spans="1:18">
      <c r="A15" s="23">
        <v>8.26</v>
      </c>
      <c r="B15" s="17">
        <f t="shared" si="0"/>
        <v>20400</v>
      </c>
      <c r="C15" s="17">
        <v>20.399999999999999</v>
      </c>
      <c r="E15" s="23">
        <v>8.26</v>
      </c>
      <c r="F15" s="22">
        <v>5.9489999999999998</v>
      </c>
      <c r="G15" s="1">
        <v>20400</v>
      </c>
      <c r="I15" s="24">
        <v>7.14</v>
      </c>
      <c r="J15" s="19">
        <v>0.61799999999999999</v>
      </c>
      <c r="K15" s="20">
        <v>8.14</v>
      </c>
      <c r="L15" s="17">
        <v>0.53800000000000003</v>
      </c>
      <c r="M15" s="17">
        <v>4</v>
      </c>
      <c r="N15" s="21">
        <v>307</v>
      </c>
      <c r="O15" s="17">
        <v>21</v>
      </c>
      <c r="P15" s="22">
        <v>5.9489999999999998</v>
      </c>
      <c r="Q15" s="23">
        <v>8.26</v>
      </c>
      <c r="R15" s="1">
        <v>20400</v>
      </c>
    </row>
    <row r="16" spans="1:18">
      <c r="A16" s="23">
        <v>10.26</v>
      </c>
      <c r="B16" s="17">
        <f t="shared" si="0"/>
        <v>18200</v>
      </c>
      <c r="C16" s="17">
        <v>18.2</v>
      </c>
      <c r="E16" s="23">
        <v>10.26</v>
      </c>
      <c r="F16" s="22">
        <v>6.0960000000000001</v>
      </c>
      <c r="G16" s="1">
        <v>18200</v>
      </c>
      <c r="I16" s="24">
        <v>0.21</v>
      </c>
      <c r="J16" s="19">
        <v>0.84499999999999997</v>
      </c>
      <c r="K16" s="20">
        <v>8.14</v>
      </c>
      <c r="L16" s="17">
        <v>0.53800000000000003</v>
      </c>
      <c r="M16" s="17">
        <v>4</v>
      </c>
      <c r="N16" s="21">
        <v>307</v>
      </c>
      <c r="O16" s="17">
        <v>21</v>
      </c>
      <c r="P16" s="22">
        <v>6.0960000000000001</v>
      </c>
      <c r="Q16" s="23">
        <v>10.26</v>
      </c>
      <c r="R16" s="1">
        <v>18200</v>
      </c>
    </row>
    <row r="17" spans="1:18">
      <c r="A17" s="23">
        <v>8.4700000000000006</v>
      </c>
      <c r="B17" s="17">
        <f t="shared" si="0"/>
        <v>19900</v>
      </c>
      <c r="C17" s="17">
        <v>19.899999999999999</v>
      </c>
      <c r="E17" s="23">
        <v>8.4700000000000006</v>
      </c>
      <c r="F17" s="22">
        <v>5.8339999999999996</v>
      </c>
      <c r="G17" s="1">
        <v>19900</v>
      </c>
      <c r="I17" s="24">
        <v>8.6</v>
      </c>
      <c r="J17" s="19">
        <v>0.56500000000000006</v>
      </c>
      <c r="K17" s="20">
        <v>8.14</v>
      </c>
      <c r="L17" s="17">
        <v>0.53800000000000003</v>
      </c>
      <c r="M17" s="17">
        <v>4</v>
      </c>
      <c r="N17" s="21">
        <v>307</v>
      </c>
      <c r="O17" s="17">
        <v>21</v>
      </c>
      <c r="P17" s="22">
        <v>5.8339999999999996</v>
      </c>
      <c r="Q17" s="23">
        <v>8.4700000000000006</v>
      </c>
      <c r="R17" s="1">
        <v>19900</v>
      </c>
    </row>
    <row r="18" spans="1:18">
      <c r="A18" s="23">
        <v>6.58</v>
      </c>
      <c r="B18" s="17">
        <f t="shared" si="0"/>
        <v>23100</v>
      </c>
      <c r="C18" s="17">
        <v>23.1</v>
      </c>
      <c r="E18" s="23">
        <v>6.58</v>
      </c>
      <c r="F18" s="22">
        <v>5.9349999999999996</v>
      </c>
      <c r="G18" s="1">
        <v>23100</v>
      </c>
      <c r="I18" s="24">
        <v>6.95</v>
      </c>
      <c r="J18" s="19">
        <v>0.29300000000000004</v>
      </c>
      <c r="K18" s="20">
        <v>8.14</v>
      </c>
      <c r="L18" s="17">
        <v>0.53800000000000003</v>
      </c>
      <c r="M18" s="17">
        <v>4</v>
      </c>
      <c r="N18" s="21">
        <v>307</v>
      </c>
      <c r="O18" s="17">
        <v>21</v>
      </c>
      <c r="P18" s="22">
        <v>5.9349999999999996</v>
      </c>
      <c r="Q18" s="23">
        <v>6.58</v>
      </c>
      <c r="R18" s="1">
        <v>23100</v>
      </c>
    </row>
    <row r="19" spans="1:18">
      <c r="A19" s="23">
        <v>14.67</v>
      </c>
      <c r="B19" s="17">
        <f t="shared" si="0"/>
        <v>17500</v>
      </c>
      <c r="C19" s="17">
        <v>17.5</v>
      </c>
      <c r="E19" s="23">
        <v>14.67</v>
      </c>
      <c r="F19" s="22">
        <v>5.99</v>
      </c>
      <c r="G19" s="1">
        <v>17500</v>
      </c>
      <c r="I19" s="24">
        <v>0.8</v>
      </c>
      <c r="J19" s="19">
        <v>0.81700000000000006</v>
      </c>
      <c r="K19" s="20">
        <v>8.14</v>
      </c>
      <c r="L19" s="17">
        <v>0.53800000000000003</v>
      </c>
      <c r="M19" s="17">
        <v>4</v>
      </c>
      <c r="N19" s="21">
        <v>307</v>
      </c>
      <c r="O19" s="17">
        <v>21</v>
      </c>
      <c r="P19" s="22">
        <v>5.99</v>
      </c>
      <c r="Q19" s="23">
        <v>14.67</v>
      </c>
      <c r="R19" s="1">
        <v>17500</v>
      </c>
    </row>
    <row r="20" spans="1:18">
      <c r="A20" s="23">
        <v>11.69</v>
      </c>
      <c r="B20" s="17">
        <f t="shared" si="0"/>
        <v>20200</v>
      </c>
      <c r="C20" s="17">
        <v>20.2</v>
      </c>
      <c r="E20" s="23">
        <v>11.69</v>
      </c>
      <c r="F20" s="22">
        <v>5.4560000000000004</v>
      </c>
      <c r="G20" s="1">
        <v>20200</v>
      </c>
      <c r="I20" s="24">
        <v>8.5</v>
      </c>
      <c r="J20" s="19">
        <v>0.36600000000000005</v>
      </c>
      <c r="K20" s="20">
        <v>8.14</v>
      </c>
      <c r="L20" s="17">
        <v>0.53800000000000003</v>
      </c>
      <c r="M20" s="17">
        <v>4</v>
      </c>
      <c r="N20" s="21">
        <v>307</v>
      </c>
      <c r="O20" s="17">
        <v>21</v>
      </c>
      <c r="P20" s="22">
        <v>5.4560000000000004</v>
      </c>
      <c r="Q20" s="23">
        <v>11.69</v>
      </c>
      <c r="R20" s="1">
        <v>20200</v>
      </c>
    </row>
    <row r="21" spans="1:18">
      <c r="A21" s="23">
        <v>11.28</v>
      </c>
      <c r="B21" s="17">
        <f t="shared" si="0"/>
        <v>18200</v>
      </c>
      <c r="C21" s="17">
        <v>18.2</v>
      </c>
      <c r="E21" s="23">
        <v>11.28</v>
      </c>
      <c r="F21" s="22">
        <v>5.7270000000000003</v>
      </c>
      <c r="G21" s="1">
        <v>18200</v>
      </c>
      <c r="I21" s="24">
        <v>5.53</v>
      </c>
      <c r="J21" s="19">
        <v>0.69500000000000006</v>
      </c>
      <c r="K21" s="20">
        <v>8.14</v>
      </c>
      <c r="L21" s="17">
        <v>0.53800000000000003</v>
      </c>
      <c r="M21" s="17">
        <v>4</v>
      </c>
      <c r="N21" s="21">
        <v>307</v>
      </c>
      <c r="O21" s="17">
        <v>21</v>
      </c>
      <c r="P21" s="22">
        <v>5.7270000000000003</v>
      </c>
      <c r="Q21" s="23">
        <v>11.28</v>
      </c>
      <c r="R21" s="1">
        <v>18200</v>
      </c>
    </row>
    <row r="22" spans="1:18">
      <c r="A22" s="23">
        <v>21.02</v>
      </c>
      <c r="B22" s="17">
        <f t="shared" si="0"/>
        <v>13600</v>
      </c>
      <c r="C22" s="17">
        <v>13.6</v>
      </c>
      <c r="E22" s="23">
        <v>21.02</v>
      </c>
      <c r="F22" s="22">
        <v>5.57</v>
      </c>
      <c r="G22" s="1">
        <v>13600</v>
      </c>
      <c r="I22" s="24">
        <v>8.39</v>
      </c>
      <c r="J22" s="19">
        <v>0.98099999999999998</v>
      </c>
      <c r="K22" s="20">
        <v>8.14</v>
      </c>
      <c r="L22" s="17">
        <v>0.53800000000000003</v>
      </c>
      <c r="M22" s="17">
        <v>4</v>
      </c>
      <c r="N22" s="21">
        <v>307</v>
      </c>
      <c r="O22" s="17">
        <v>21</v>
      </c>
      <c r="P22" s="22">
        <v>5.57</v>
      </c>
      <c r="Q22" s="23">
        <v>21.02</v>
      </c>
      <c r="R22" s="1">
        <v>13600</v>
      </c>
    </row>
    <row r="23" spans="1:18">
      <c r="A23" s="23">
        <v>13.83</v>
      </c>
      <c r="B23" s="17">
        <f t="shared" si="0"/>
        <v>19600</v>
      </c>
      <c r="C23" s="17">
        <v>19.600000000000001</v>
      </c>
      <c r="E23" s="23">
        <v>13.83</v>
      </c>
      <c r="F23" s="22">
        <v>5.9649999999999999</v>
      </c>
      <c r="G23" s="1">
        <v>19600</v>
      </c>
      <c r="I23" s="24">
        <v>8.9600000000000009</v>
      </c>
      <c r="J23" s="19">
        <v>0.89200000000000002</v>
      </c>
      <c r="K23" s="20">
        <v>8.14</v>
      </c>
      <c r="L23" s="17">
        <v>0.53800000000000003</v>
      </c>
      <c r="M23" s="17">
        <v>4</v>
      </c>
      <c r="N23" s="21">
        <v>307</v>
      </c>
      <c r="O23" s="17">
        <v>21</v>
      </c>
      <c r="P23" s="22">
        <v>5.9649999999999999</v>
      </c>
      <c r="Q23" s="23">
        <v>13.83</v>
      </c>
      <c r="R23" s="1">
        <v>19600</v>
      </c>
    </row>
    <row r="24" spans="1:18">
      <c r="A24" s="23">
        <v>18.72</v>
      </c>
      <c r="B24" s="17">
        <f t="shared" si="0"/>
        <v>15200</v>
      </c>
      <c r="C24" s="17">
        <v>15.2</v>
      </c>
      <c r="E24" s="23">
        <v>18.72</v>
      </c>
      <c r="F24" s="22">
        <v>6.1420000000000003</v>
      </c>
      <c r="G24" s="1">
        <v>15200</v>
      </c>
      <c r="I24" s="24">
        <v>9.61</v>
      </c>
      <c r="J24" s="19">
        <v>0.91700000000000004</v>
      </c>
      <c r="K24" s="20">
        <v>8.14</v>
      </c>
      <c r="L24" s="17">
        <v>0.53800000000000003</v>
      </c>
      <c r="M24" s="17">
        <v>4</v>
      </c>
      <c r="N24" s="21">
        <v>307</v>
      </c>
      <c r="O24" s="17">
        <v>21</v>
      </c>
      <c r="P24" s="22">
        <v>6.1420000000000003</v>
      </c>
      <c r="Q24" s="23">
        <v>18.72</v>
      </c>
      <c r="R24" s="1">
        <v>15200</v>
      </c>
    </row>
    <row r="25" spans="1:18">
      <c r="A25" s="23">
        <v>19.88</v>
      </c>
      <c r="B25" s="17">
        <f t="shared" si="0"/>
        <v>14500</v>
      </c>
      <c r="C25" s="17">
        <v>14.5</v>
      </c>
      <c r="E25" s="23">
        <v>19.88</v>
      </c>
      <c r="F25" s="22">
        <v>5.8129999999999997</v>
      </c>
      <c r="G25" s="1">
        <v>14500</v>
      </c>
      <c r="I25" s="24">
        <v>2.8</v>
      </c>
      <c r="J25" s="19">
        <v>1</v>
      </c>
      <c r="K25" s="20">
        <v>8.14</v>
      </c>
      <c r="L25" s="17">
        <v>0.53800000000000003</v>
      </c>
      <c r="M25" s="17">
        <v>4</v>
      </c>
      <c r="N25" s="21">
        <v>307</v>
      </c>
      <c r="O25" s="17">
        <v>21</v>
      </c>
      <c r="P25" s="22">
        <v>5.8129999999999997</v>
      </c>
      <c r="Q25" s="23">
        <v>19.88</v>
      </c>
      <c r="R25" s="1">
        <v>14500</v>
      </c>
    </row>
    <row r="26" spans="1:18">
      <c r="A26" s="23">
        <v>16.3</v>
      </c>
      <c r="B26" s="17">
        <f t="shared" si="0"/>
        <v>15600</v>
      </c>
      <c r="C26" s="17">
        <v>15.6</v>
      </c>
      <c r="E26" s="23">
        <v>16.3</v>
      </c>
      <c r="F26" s="22">
        <v>5.9240000000000004</v>
      </c>
      <c r="G26" s="1">
        <v>15600</v>
      </c>
      <c r="I26" s="24">
        <v>1.29</v>
      </c>
      <c r="J26" s="19">
        <v>0.94099999999999995</v>
      </c>
      <c r="K26" s="20">
        <v>8.14</v>
      </c>
      <c r="L26" s="17">
        <v>0.53800000000000003</v>
      </c>
      <c r="M26" s="17">
        <v>4</v>
      </c>
      <c r="N26" s="21">
        <v>307</v>
      </c>
      <c r="O26" s="17">
        <v>21</v>
      </c>
      <c r="P26" s="22">
        <v>5.9240000000000004</v>
      </c>
      <c r="Q26" s="23">
        <v>16.3</v>
      </c>
      <c r="R26" s="1">
        <v>15600</v>
      </c>
    </row>
    <row r="27" spans="1:18">
      <c r="A27" s="23">
        <v>16.510000000000002</v>
      </c>
      <c r="B27" s="17">
        <f t="shared" si="0"/>
        <v>13900</v>
      </c>
      <c r="C27" s="17">
        <v>13.9</v>
      </c>
      <c r="E27" s="23">
        <v>16.510000000000002</v>
      </c>
      <c r="F27" s="22">
        <v>5.5990000000000002</v>
      </c>
      <c r="G27" s="1">
        <v>13900</v>
      </c>
      <c r="I27" s="24">
        <v>5.71</v>
      </c>
      <c r="J27" s="19">
        <v>0.8570000000000001</v>
      </c>
      <c r="K27" s="20">
        <v>8.14</v>
      </c>
      <c r="L27" s="17">
        <v>0.53800000000000003</v>
      </c>
      <c r="M27" s="17">
        <v>4</v>
      </c>
      <c r="N27" s="21">
        <v>307</v>
      </c>
      <c r="O27" s="17">
        <v>21</v>
      </c>
      <c r="P27" s="22">
        <v>5.5990000000000002</v>
      </c>
      <c r="Q27" s="23">
        <v>16.510000000000002</v>
      </c>
      <c r="R27" s="1">
        <v>13900</v>
      </c>
    </row>
    <row r="28" spans="1:18">
      <c r="A28" s="23">
        <v>14.81</v>
      </c>
      <c r="B28" s="17">
        <f t="shared" si="0"/>
        <v>16600</v>
      </c>
      <c r="C28" s="17">
        <v>16.600000000000001</v>
      </c>
      <c r="E28" s="23">
        <v>14.81</v>
      </c>
      <c r="F28" s="22">
        <v>5.8129999999999997</v>
      </c>
      <c r="G28" s="1">
        <v>16600</v>
      </c>
      <c r="I28" s="24">
        <v>0.82</v>
      </c>
      <c r="J28" s="19">
        <v>0.90300000000000002</v>
      </c>
      <c r="K28" s="20">
        <v>8.14</v>
      </c>
      <c r="L28" s="17">
        <v>0.53800000000000003</v>
      </c>
      <c r="M28" s="17">
        <v>4</v>
      </c>
      <c r="N28" s="21">
        <v>307</v>
      </c>
      <c r="O28" s="17">
        <v>21</v>
      </c>
      <c r="P28" s="22">
        <v>5.8129999999999997</v>
      </c>
      <c r="Q28" s="23">
        <v>14.81</v>
      </c>
      <c r="R28" s="1">
        <v>16600</v>
      </c>
    </row>
    <row r="29" spans="1:18">
      <c r="A29" s="23">
        <v>17.28</v>
      </c>
      <c r="B29" s="17">
        <f t="shared" si="0"/>
        <v>14800</v>
      </c>
      <c r="C29" s="17">
        <v>14.8</v>
      </c>
      <c r="E29" s="23">
        <v>17.28</v>
      </c>
      <c r="F29" s="22">
        <v>6.0469999999999997</v>
      </c>
      <c r="G29" s="1">
        <v>14800</v>
      </c>
      <c r="I29" s="24">
        <v>5.22</v>
      </c>
      <c r="J29" s="19">
        <v>0.88800000000000001</v>
      </c>
      <c r="K29" s="20">
        <v>8.14</v>
      </c>
      <c r="L29" s="17">
        <v>0.53800000000000003</v>
      </c>
      <c r="M29" s="17">
        <v>4</v>
      </c>
      <c r="N29" s="21">
        <v>307</v>
      </c>
      <c r="O29" s="17">
        <v>21</v>
      </c>
      <c r="P29" s="22">
        <v>6.0469999999999997</v>
      </c>
      <c r="Q29" s="23">
        <v>17.28</v>
      </c>
      <c r="R29" s="1">
        <v>14800</v>
      </c>
    </row>
    <row r="30" spans="1:18">
      <c r="A30" s="23">
        <v>12.8</v>
      </c>
      <c r="B30" s="17">
        <f t="shared" si="0"/>
        <v>18400</v>
      </c>
      <c r="C30" s="17">
        <v>18.399999999999999</v>
      </c>
      <c r="E30" s="23">
        <v>12.8</v>
      </c>
      <c r="F30" s="22">
        <v>6.4950000000000001</v>
      </c>
      <c r="G30" s="1">
        <v>18400</v>
      </c>
      <c r="I30" s="24">
        <v>0.37</v>
      </c>
      <c r="J30" s="19">
        <v>0.94400000000000006</v>
      </c>
      <c r="K30" s="20">
        <v>8.14</v>
      </c>
      <c r="L30" s="17">
        <v>0.53800000000000003</v>
      </c>
      <c r="M30" s="17">
        <v>4</v>
      </c>
      <c r="N30" s="21">
        <v>307</v>
      </c>
      <c r="O30" s="17">
        <v>21</v>
      </c>
      <c r="P30" s="22">
        <v>6.4950000000000001</v>
      </c>
      <c r="Q30" s="23">
        <v>12.8</v>
      </c>
      <c r="R30" s="1">
        <v>18400</v>
      </c>
    </row>
    <row r="31" spans="1:18">
      <c r="A31" s="23">
        <v>11.98</v>
      </c>
      <c r="B31" s="17">
        <f t="shared" si="0"/>
        <v>21000</v>
      </c>
      <c r="C31" s="17">
        <v>21</v>
      </c>
      <c r="E31" s="23">
        <v>11.98</v>
      </c>
      <c r="F31" s="22">
        <v>6.6740000000000004</v>
      </c>
      <c r="G31" s="1">
        <v>21000</v>
      </c>
      <c r="I31" s="24">
        <v>5.8</v>
      </c>
      <c r="J31" s="19">
        <v>0.873</v>
      </c>
      <c r="K31" s="20">
        <v>8.14</v>
      </c>
      <c r="L31" s="17">
        <v>0.53800000000000003</v>
      </c>
      <c r="M31" s="17">
        <v>4</v>
      </c>
      <c r="N31" s="21">
        <v>307</v>
      </c>
      <c r="O31" s="17">
        <v>21</v>
      </c>
      <c r="P31" s="22">
        <v>6.6740000000000004</v>
      </c>
      <c r="Q31" s="23">
        <v>11.98</v>
      </c>
      <c r="R31" s="1">
        <v>21000</v>
      </c>
    </row>
    <row r="32" spans="1:18">
      <c r="A32" s="23">
        <v>22.6</v>
      </c>
      <c r="B32" s="17">
        <f t="shared" si="0"/>
        <v>12700</v>
      </c>
      <c r="C32" s="17">
        <v>12.7</v>
      </c>
      <c r="E32" s="23">
        <v>22.6</v>
      </c>
      <c r="F32" s="22">
        <v>5.7130000000000001</v>
      </c>
      <c r="G32" s="1">
        <v>12700</v>
      </c>
      <c r="I32" s="24">
        <v>1.3</v>
      </c>
      <c r="J32" s="19">
        <v>0.94099999999999995</v>
      </c>
      <c r="K32" s="20">
        <v>8.14</v>
      </c>
      <c r="L32" s="17">
        <v>0.53800000000000003</v>
      </c>
      <c r="M32" s="17">
        <v>4</v>
      </c>
      <c r="N32" s="21">
        <v>307</v>
      </c>
      <c r="O32" s="17">
        <v>21</v>
      </c>
      <c r="P32" s="22">
        <v>5.7130000000000001</v>
      </c>
      <c r="Q32" s="23">
        <v>22.6</v>
      </c>
      <c r="R32" s="1">
        <v>12700</v>
      </c>
    </row>
    <row r="33" spans="1:18">
      <c r="A33" s="23">
        <v>13.04</v>
      </c>
      <c r="B33" s="17">
        <f t="shared" si="0"/>
        <v>14500</v>
      </c>
      <c r="C33" s="17">
        <v>14.5</v>
      </c>
      <c r="E33" s="23">
        <v>13.04</v>
      </c>
      <c r="F33" s="22">
        <v>6.0720000000000001</v>
      </c>
      <c r="G33" s="1">
        <v>14500</v>
      </c>
      <c r="I33" s="24">
        <v>0.23</v>
      </c>
      <c r="J33" s="19">
        <v>1</v>
      </c>
      <c r="K33" s="20">
        <v>8.14</v>
      </c>
      <c r="L33" s="17">
        <v>0.53800000000000003</v>
      </c>
      <c r="M33" s="17">
        <v>4</v>
      </c>
      <c r="N33" s="21">
        <v>307</v>
      </c>
      <c r="O33" s="17">
        <v>21</v>
      </c>
      <c r="P33" s="22">
        <v>6.0720000000000001</v>
      </c>
      <c r="Q33" s="23">
        <v>13.04</v>
      </c>
      <c r="R33" s="1">
        <v>14500</v>
      </c>
    </row>
    <row r="34" spans="1:18">
      <c r="A34" s="23">
        <v>27.71</v>
      </c>
      <c r="B34" s="17">
        <f t="shared" si="0"/>
        <v>13200</v>
      </c>
      <c r="C34" s="17">
        <v>13.2</v>
      </c>
      <c r="E34" s="23">
        <v>27.71</v>
      </c>
      <c r="F34" s="22">
        <v>5.95</v>
      </c>
      <c r="G34" s="1">
        <v>13200</v>
      </c>
      <c r="I34" s="24">
        <v>1.1200000000000001</v>
      </c>
      <c r="J34" s="19">
        <v>0.82000000000000006</v>
      </c>
      <c r="K34" s="20">
        <v>8.14</v>
      </c>
      <c r="L34" s="17">
        <v>0.53800000000000003</v>
      </c>
      <c r="M34" s="17">
        <v>4</v>
      </c>
      <c r="N34" s="21">
        <v>307</v>
      </c>
      <c r="O34" s="17">
        <v>21</v>
      </c>
      <c r="P34" s="22">
        <v>5.95</v>
      </c>
      <c r="Q34" s="23">
        <v>27.71</v>
      </c>
      <c r="R34" s="1">
        <v>13200</v>
      </c>
    </row>
    <row r="35" spans="1:18">
      <c r="A35" s="23">
        <v>18.350000000000001</v>
      </c>
      <c r="B35" s="17">
        <f t="shared" si="0"/>
        <v>13100</v>
      </c>
      <c r="C35" s="17">
        <v>13.1</v>
      </c>
      <c r="E35" s="23">
        <v>18.350000000000001</v>
      </c>
      <c r="F35" s="22">
        <v>5.7009999999999996</v>
      </c>
      <c r="G35" s="1">
        <v>13100</v>
      </c>
      <c r="I35" s="24">
        <v>6.33</v>
      </c>
      <c r="J35" s="19">
        <v>0.95000000000000007</v>
      </c>
      <c r="K35" s="20">
        <v>8.14</v>
      </c>
      <c r="L35" s="17">
        <v>0.53800000000000003</v>
      </c>
      <c r="M35" s="17">
        <v>4</v>
      </c>
      <c r="N35" s="21">
        <v>307</v>
      </c>
      <c r="O35" s="17">
        <v>21</v>
      </c>
      <c r="P35" s="22">
        <v>5.7009999999999996</v>
      </c>
      <c r="Q35" s="23">
        <v>18.350000000000001</v>
      </c>
      <c r="R35" s="1">
        <v>13100</v>
      </c>
    </row>
    <row r="36" spans="1:18">
      <c r="A36" s="23">
        <v>20.34</v>
      </c>
      <c r="B36" s="17">
        <f t="shared" si="0"/>
        <v>13500</v>
      </c>
      <c r="C36" s="17">
        <v>13.5</v>
      </c>
      <c r="E36" s="23">
        <v>20.34</v>
      </c>
      <c r="F36" s="22">
        <v>6.0960000000000001</v>
      </c>
      <c r="G36" s="1">
        <v>13500</v>
      </c>
      <c r="I36" s="24">
        <v>0.04</v>
      </c>
      <c r="J36" s="19">
        <v>0.96900000000000008</v>
      </c>
      <c r="K36" s="20">
        <v>8.14</v>
      </c>
      <c r="L36" s="17">
        <v>0.53800000000000003</v>
      </c>
      <c r="M36" s="17">
        <v>4</v>
      </c>
      <c r="N36" s="21">
        <v>307</v>
      </c>
      <c r="O36" s="17">
        <v>21</v>
      </c>
      <c r="P36" s="22">
        <v>6.0960000000000001</v>
      </c>
      <c r="Q36" s="23">
        <v>20.34</v>
      </c>
      <c r="R36" s="1">
        <v>13500</v>
      </c>
    </row>
    <row r="37" spans="1:18">
      <c r="A37" s="23">
        <v>9.68</v>
      </c>
      <c r="B37" s="17">
        <f t="shared" si="0"/>
        <v>18900</v>
      </c>
      <c r="C37" s="17">
        <v>18.899999999999999</v>
      </c>
      <c r="E37" s="23">
        <v>9.68</v>
      </c>
      <c r="F37" s="22">
        <v>5.9329999999999998</v>
      </c>
      <c r="G37" s="1">
        <v>18900</v>
      </c>
      <c r="I37" s="24">
        <v>8.6</v>
      </c>
      <c r="J37" s="19">
        <v>0.68200000000000005</v>
      </c>
      <c r="K37" s="20">
        <v>5.96</v>
      </c>
      <c r="L37" s="17">
        <v>0.499</v>
      </c>
      <c r="M37" s="17">
        <v>5</v>
      </c>
      <c r="N37" s="21">
        <v>279</v>
      </c>
      <c r="O37" s="17">
        <v>19.2</v>
      </c>
      <c r="P37" s="22">
        <v>5.9329999999999998</v>
      </c>
      <c r="Q37" s="23">
        <v>9.68</v>
      </c>
      <c r="R37" s="1">
        <v>18900</v>
      </c>
    </row>
    <row r="38" spans="1:18">
      <c r="A38" s="23">
        <v>11.41</v>
      </c>
      <c r="B38" s="17">
        <f t="shared" si="0"/>
        <v>20000</v>
      </c>
      <c r="C38" s="17">
        <v>20</v>
      </c>
      <c r="E38" s="23">
        <v>11.41</v>
      </c>
      <c r="F38" s="22">
        <v>5.8410000000000002</v>
      </c>
      <c r="G38" s="1">
        <v>20000</v>
      </c>
      <c r="I38" s="24">
        <v>7.9</v>
      </c>
      <c r="J38" s="19">
        <v>0.61399999999999999</v>
      </c>
      <c r="K38" s="20">
        <v>5.96</v>
      </c>
      <c r="L38" s="17">
        <v>0.499</v>
      </c>
      <c r="M38" s="17">
        <v>5</v>
      </c>
      <c r="N38" s="21">
        <v>279</v>
      </c>
      <c r="O38" s="17">
        <v>19.2</v>
      </c>
      <c r="P38" s="22">
        <v>5.8410000000000002</v>
      </c>
      <c r="Q38" s="23">
        <v>11.41</v>
      </c>
      <c r="R38" s="1">
        <v>20000</v>
      </c>
    </row>
    <row r="39" spans="1:18">
      <c r="A39" s="23">
        <v>8.77</v>
      </c>
      <c r="B39" s="17">
        <f t="shared" si="0"/>
        <v>21000</v>
      </c>
      <c r="C39" s="17">
        <v>21</v>
      </c>
      <c r="E39" s="23">
        <v>8.77</v>
      </c>
      <c r="F39" s="22">
        <v>5.85</v>
      </c>
      <c r="G39" s="1">
        <v>21000</v>
      </c>
      <c r="I39" s="24">
        <v>7.19</v>
      </c>
      <c r="J39" s="19">
        <v>0.41500000000000004</v>
      </c>
      <c r="K39" s="20">
        <v>5.96</v>
      </c>
      <c r="L39" s="17">
        <v>0.499</v>
      </c>
      <c r="M39" s="17">
        <v>5</v>
      </c>
      <c r="N39" s="21">
        <v>279</v>
      </c>
      <c r="O39" s="17">
        <v>19.2</v>
      </c>
      <c r="P39" s="22">
        <v>5.85</v>
      </c>
      <c r="Q39" s="23">
        <v>8.77</v>
      </c>
      <c r="R39" s="1">
        <v>21000</v>
      </c>
    </row>
    <row r="40" spans="1:18">
      <c r="A40" s="23">
        <v>10.130000000000001</v>
      </c>
      <c r="B40" s="17">
        <f t="shared" si="0"/>
        <v>24700</v>
      </c>
      <c r="C40" s="17">
        <v>24.7</v>
      </c>
      <c r="E40" s="23">
        <v>10.130000000000001</v>
      </c>
      <c r="F40" s="22">
        <v>5.9660000000000002</v>
      </c>
      <c r="G40" s="1">
        <v>24700</v>
      </c>
      <c r="I40" s="24">
        <v>3.88</v>
      </c>
      <c r="J40" s="19">
        <v>0.30199999999999999</v>
      </c>
      <c r="K40" s="20">
        <v>5.96</v>
      </c>
      <c r="L40" s="17">
        <v>0.499</v>
      </c>
      <c r="M40" s="17">
        <v>5</v>
      </c>
      <c r="N40" s="21">
        <v>279</v>
      </c>
      <c r="O40" s="17">
        <v>19.2</v>
      </c>
      <c r="P40" s="22">
        <v>5.9660000000000002</v>
      </c>
      <c r="Q40" s="23">
        <v>10.130000000000001</v>
      </c>
      <c r="R40" s="1">
        <v>24700</v>
      </c>
    </row>
    <row r="41" spans="1:18">
      <c r="A41" s="23">
        <v>4.32</v>
      </c>
      <c r="B41" s="17">
        <f t="shared" si="0"/>
        <v>30800</v>
      </c>
      <c r="C41" s="17">
        <v>30.8</v>
      </c>
      <c r="E41" s="23">
        <v>4.32</v>
      </c>
      <c r="F41" s="22">
        <v>6.5949999999999998</v>
      </c>
      <c r="G41" s="1">
        <v>30800</v>
      </c>
      <c r="I41" s="24">
        <v>8.99</v>
      </c>
      <c r="J41" s="19">
        <v>0.218</v>
      </c>
      <c r="K41" s="20">
        <v>2.95</v>
      </c>
      <c r="L41" s="17">
        <v>0.42799999999999999</v>
      </c>
      <c r="M41" s="17">
        <v>3</v>
      </c>
      <c r="N41" s="21">
        <v>252</v>
      </c>
      <c r="O41" s="17">
        <v>18.3</v>
      </c>
      <c r="P41" s="22">
        <v>6.5949999999999998</v>
      </c>
      <c r="Q41" s="23">
        <v>4.32</v>
      </c>
      <c r="R41" s="1">
        <v>30800</v>
      </c>
    </row>
    <row r="42" spans="1:18">
      <c r="A42" s="23">
        <v>1.98</v>
      </c>
      <c r="B42" s="17">
        <f t="shared" si="0"/>
        <v>34900</v>
      </c>
      <c r="C42" s="17">
        <v>34.9</v>
      </c>
      <c r="E42" s="23">
        <v>1.98</v>
      </c>
      <c r="F42" s="22">
        <v>7.024</v>
      </c>
      <c r="G42" s="1">
        <v>34900</v>
      </c>
      <c r="I42" s="24">
        <v>1.27</v>
      </c>
      <c r="J42" s="19">
        <v>0.158</v>
      </c>
      <c r="K42" s="20">
        <v>2.95</v>
      </c>
      <c r="L42" s="17">
        <v>0.42799999999999999</v>
      </c>
      <c r="M42" s="17">
        <v>3</v>
      </c>
      <c r="N42" s="21">
        <v>252</v>
      </c>
      <c r="O42" s="17">
        <v>18.3</v>
      </c>
      <c r="P42" s="22">
        <v>7.024</v>
      </c>
      <c r="Q42" s="23">
        <v>1.98</v>
      </c>
      <c r="R42" s="1">
        <v>34900</v>
      </c>
    </row>
    <row r="43" spans="1:18">
      <c r="A43" s="23">
        <v>4.84</v>
      </c>
      <c r="B43" s="17">
        <f t="shared" si="0"/>
        <v>26600</v>
      </c>
      <c r="C43" s="17">
        <v>26.6</v>
      </c>
      <c r="E43" s="23">
        <v>4.84</v>
      </c>
      <c r="F43" s="22">
        <v>6.77</v>
      </c>
      <c r="G43" s="1">
        <v>26600</v>
      </c>
      <c r="I43" s="24">
        <v>4.8600000000000003</v>
      </c>
      <c r="J43" s="19">
        <v>2.8999999999999998E-2</v>
      </c>
      <c r="K43" s="20">
        <v>6.91</v>
      </c>
      <c r="L43" s="17">
        <v>0.44800000000000001</v>
      </c>
      <c r="M43" s="17">
        <v>3</v>
      </c>
      <c r="N43" s="21">
        <v>233</v>
      </c>
      <c r="O43" s="17">
        <v>17.899999999999999</v>
      </c>
      <c r="P43" s="22">
        <v>6.77</v>
      </c>
      <c r="Q43" s="23">
        <v>4.84</v>
      </c>
      <c r="R43" s="1">
        <v>26600</v>
      </c>
    </row>
    <row r="44" spans="1:18">
      <c r="A44" s="23">
        <v>5.81</v>
      </c>
      <c r="B44" s="17">
        <f t="shared" si="0"/>
        <v>25300</v>
      </c>
      <c r="C44" s="17">
        <v>25.3</v>
      </c>
      <c r="E44" s="23">
        <v>5.81</v>
      </c>
      <c r="F44" s="22">
        <v>6.1689999999999996</v>
      </c>
      <c r="G44" s="1">
        <v>25300</v>
      </c>
      <c r="I44" s="24">
        <v>0.66</v>
      </c>
      <c r="J44" s="19">
        <v>6.6000000000000003E-2</v>
      </c>
      <c r="K44" s="20">
        <v>6.91</v>
      </c>
      <c r="L44" s="17">
        <v>0.44800000000000001</v>
      </c>
      <c r="M44" s="17">
        <v>3</v>
      </c>
      <c r="N44" s="21">
        <v>233</v>
      </c>
      <c r="O44" s="17">
        <v>17.899999999999999</v>
      </c>
      <c r="P44" s="22">
        <v>6.1689999999999996</v>
      </c>
      <c r="Q44" s="23">
        <v>5.81</v>
      </c>
      <c r="R44" s="1">
        <v>25300</v>
      </c>
    </row>
    <row r="45" spans="1:18">
      <c r="A45" s="23">
        <v>7.44</v>
      </c>
      <c r="B45" s="17">
        <f t="shared" si="0"/>
        <v>24700</v>
      </c>
      <c r="C45" s="17">
        <v>24.7</v>
      </c>
      <c r="E45" s="23">
        <v>7.44</v>
      </c>
      <c r="F45" s="22">
        <v>6.2110000000000003</v>
      </c>
      <c r="G45" s="1">
        <v>24700</v>
      </c>
      <c r="I45" s="24">
        <v>3.73</v>
      </c>
      <c r="J45" s="19">
        <v>6.5000000000000002E-2</v>
      </c>
      <c r="K45" s="20">
        <v>6.91</v>
      </c>
      <c r="L45" s="17">
        <v>0.44800000000000001</v>
      </c>
      <c r="M45" s="17">
        <v>3</v>
      </c>
      <c r="N45" s="21">
        <v>233</v>
      </c>
      <c r="O45" s="17">
        <v>17.899999999999999</v>
      </c>
      <c r="P45" s="22">
        <v>6.2110000000000003</v>
      </c>
      <c r="Q45" s="23">
        <v>7.44</v>
      </c>
      <c r="R45" s="1">
        <v>24700</v>
      </c>
    </row>
    <row r="46" spans="1:18">
      <c r="A46" s="23">
        <v>9.5500000000000007</v>
      </c>
      <c r="B46" s="17">
        <f t="shared" si="0"/>
        <v>21200</v>
      </c>
      <c r="C46" s="17">
        <v>21.2</v>
      </c>
      <c r="E46" s="23">
        <v>9.5500000000000007</v>
      </c>
      <c r="F46" s="22">
        <v>6.069</v>
      </c>
      <c r="G46" s="1">
        <v>21200</v>
      </c>
      <c r="I46" s="24">
        <v>4.63</v>
      </c>
      <c r="J46" s="19">
        <v>0.4</v>
      </c>
      <c r="K46" s="20">
        <v>6.91</v>
      </c>
      <c r="L46" s="17">
        <v>0.44800000000000001</v>
      </c>
      <c r="M46" s="17">
        <v>3</v>
      </c>
      <c r="N46" s="21">
        <v>233</v>
      </c>
      <c r="O46" s="17">
        <v>17.899999999999999</v>
      </c>
      <c r="P46" s="22">
        <v>6.069</v>
      </c>
      <c r="Q46" s="23">
        <v>9.5500000000000007</v>
      </c>
      <c r="R46" s="1">
        <v>21200</v>
      </c>
    </row>
    <row r="47" spans="1:18">
      <c r="A47" s="23">
        <v>10.210000000000001</v>
      </c>
      <c r="B47" s="17">
        <f t="shared" si="0"/>
        <v>19300</v>
      </c>
      <c r="C47" s="17">
        <v>19.3</v>
      </c>
      <c r="E47" s="23">
        <v>10.210000000000001</v>
      </c>
      <c r="F47" s="22">
        <v>5.6820000000000004</v>
      </c>
      <c r="G47" s="1">
        <v>19300</v>
      </c>
      <c r="I47" s="24">
        <v>8.41</v>
      </c>
      <c r="J47" s="19">
        <v>0.33799999999999997</v>
      </c>
      <c r="K47" s="20">
        <v>6.91</v>
      </c>
      <c r="L47" s="17">
        <v>0.44800000000000001</v>
      </c>
      <c r="M47" s="17">
        <v>3</v>
      </c>
      <c r="N47" s="21">
        <v>233</v>
      </c>
      <c r="O47" s="17">
        <v>17.899999999999999</v>
      </c>
      <c r="P47" s="22">
        <v>5.6820000000000004</v>
      </c>
      <c r="Q47" s="23">
        <v>10.210000000000001</v>
      </c>
      <c r="R47" s="1">
        <v>19300</v>
      </c>
    </row>
    <row r="48" spans="1:18">
      <c r="A48" s="23">
        <v>14.15</v>
      </c>
      <c r="B48" s="17">
        <f t="shared" si="0"/>
        <v>20000</v>
      </c>
      <c r="C48" s="17">
        <v>20</v>
      </c>
      <c r="E48" s="23">
        <v>14.15</v>
      </c>
      <c r="F48" s="22">
        <v>5.7859999999999996</v>
      </c>
      <c r="G48" s="1">
        <v>20000</v>
      </c>
      <c r="I48" s="24">
        <v>5.66</v>
      </c>
      <c r="J48" s="19">
        <v>0.33299999999999996</v>
      </c>
      <c r="K48" s="20">
        <v>6.91</v>
      </c>
      <c r="L48" s="17">
        <v>0.44800000000000001</v>
      </c>
      <c r="M48" s="17">
        <v>3</v>
      </c>
      <c r="N48" s="21">
        <v>233</v>
      </c>
      <c r="O48" s="17">
        <v>17.899999999999999</v>
      </c>
      <c r="P48" s="22">
        <v>5.7859999999999996</v>
      </c>
      <c r="Q48" s="23">
        <v>14.15</v>
      </c>
      <c r="R48" s="1">
        <v>20000</v>
      </c>
    </row>
    <row r="49" spans="1:18">
      <c r="A49" s="23">
        <v>18.8</v>
      </c>
      <c r="B49" s="17">
        <f t="shared" si="0"/>
        <v>16600</v>
      </c>
      <c r="C49" s="17">
        <v>16.600000000000001</v>
      </c>
      <c r="E49" s="23">
        <v>18.8</v>
      </c>
      <c r="F49" s="22">
        <v>6.03</v>
      </c>
      <c r="G49" s="1">
        <v>16600</v>
      </c>
      <c r="I49" s="24">
        <v>1.43</v>
      </c>
      <c r="J49" s="19">
        <v>0.85499999999999998</v>
      </c>
      <c r="K49" s="20">
        <v>6.91</v>
      </c>
      <c r="L49" s="17">
        <v>0.44800000000000001</v>
      </c>
      <c r="M49" s="17">
        <v>3</v>
      </c>
      <c r="N49" s="21">
        <v>233</v>
      </c>
      <c r="O49" s="17">
        <v>17.899999999999999</v>
      </c>
      <c r="P49" s="22">
        <v>6.03</v>
      </c>
      <c r="Q49" s="23">
        <v>18.8</v>
      </c>
      <c r="R49" s="1">
        <v>16600</v>
      </c>
    </row>
    <row r="50" spans="1:18">
      <c r="A50" s="23">
        <v>30.81</v>
      </c>
      <c r="B50" s="17">
        <f t="shared" si="0"/>
        <v>14400</v>
      </c>
      <c r="C50" s="17">
        <v>14.4</v>
      </c>
      <c r="E50" s="23">
        <v>30.81</v>
      </c>
      <c r="F50" s="22">
        <v>5.399</v>
      </c>
      <c r="G50" s="1">
        <v>14400</v>
      </c>
      <c r="I50" s="24">
        <v>8.3000000000000007</v>
      </c>
      <c r="J50" s="19">
        <v>0.95299999999999996</v>
      </c>
      <c r="K50" s="20">
        <v>6.91</v>
      </c>
      <c r="L50" s="17">
        <v>0.44800000000000001</v>
      </c>
      <c r="M50" s="17">
        <v>3</v>
      </c>
      <c r="N50" s="21">
        <v>233</v>
      </c>
      <c r="O50" s="17">
        <v>17.899999999999999</v>
      </c>
      <c r="P50" s="22">
        <v>5.399</v>
      </c>
      <c r="Q50" s="23">
        <v>30.81</v>
      </c>
      <c r="R50" s="1">
        <v>14400</v>
      </c>
    </row>
    <row r="51" spans="1:18">
      <c r="A51" s="23">
        <v>16.2</v>
      </c>
      <c r="B51" s="17">
        <f t="shared" si="0"/>
        <v>19400</v>
      </c>
      <c r="C51" s="17">
        <v>19.399999999999999</v>
      </c>
      <c r="E51" s="23">
        <v>16.2</v>
      </c>
      <c r="F51" s="22">
        <v>5.6020000000000003</v>
      </c>
      <c r="G51" s="1">
        <v>19400</v>
      </c>
      <c r="I51" s="24">
        <v>8.24</v>
      </c>
      <c r="J51" s="19">
        <v>0.62</v>
      </c>
      <c r="K51" s="20">
        <v>6.91</v>
      </c>
      <c r="L51" s="17">
        <v>0.44800000000000001</v>
      </c>
      <c r="M51" s="17">
        <v>3</v>
      </c>
      <c r="N51" s="21">
        <v>233</v>
      </c>
      <c r="O51" s="17">
        <v>17.899999999999999</v>
      </c>
      <c r="P51" s="22">
        <v>5.6020000000000003</v>
      </c>
      <c r="Q51" s="23">
        <v>16.2</v>
      </c>
      <c r="R51" s="1">
        <v>19400</v>
      </c>
    </row>
    <row r="52" spans="1:18">
      <c r="A52" s="23">
        <v>13.45</v>
      </c>
      <c r="B52" s="17">
        <f t="shared" si="0"/>
        <v>19700</v>
      </c>
      <c r="C52" s="17">
        <v>19.7</v>
      </c>
      <c r="E52" s="23">
        <v>13.45</v>
      </c>
      <c r="F52" s="22">
        <v>5.9630000000000001</v>
      </c>
      <c r="G52" s="1">
        <v>19700</v>
      </c>
      <c r="I52" s="24">
        <v>0.63</v>
      </c>
      <c r="J52" s="19">
        <v>0.45700000000000002</v>
      </c>
      <c r="K52" s="20">
        <v>5.64</v>
      </c>
      <c r="L52" s="17">
        <v>0.439</v>
      </c>
      <c r="M52" s="17">
        <v>4</v>
      </c>
      <c r="N52" s="21">
        <v>243</v>
      </c>
      <c r="O52" s="17">
        <v>16.8</v>
      </c>
      <c r="P52" s="22">
        <v>5.9630000000000001</v>
      </c>
      <c r="Q52" s="23">
        <v>13.45</v>
      </c>
      <c r="R52" s="1">
        <v>19700</v>
      </c>
    </row>
    <row r="53" spans="1:18">
      <c r="A53" s="23">
        <v>9.43</v>
      </c>
      <c r="B53" s="17">
        <f t="shared" si="0"/>
        <v>20500</v>
      </c>
      <c r="C53" s="17">
        <v>20.5</v>
      </c>
      <c r="E53" s="23">
        <v>9.43</v>
      </c>
      <c r="F53" s="22">
        <v>6.1150000000000002</v>
      </c>
      <c r="G53" s="1">
        <v>20500</v>
      </c>
      <c r="I53" s="24">
        <v>2.69</v>
      </c>
      <c r="J53" s="19">
        <v>0.63</v>
      </c>
      <c r="K53" s="20">
        <v>5.64</v>
      </c>
      <c r="L53" s="17">
        <v>0.439</v>
      </c>
      <c r="M53" s="17">
        <v>4</v>
      </c>
      <c r="N53" s="21">
        <v>243</v>
      </c>
      <c r="O53" s="17">
        <v>16.8</v>
      </c>
      <c r="P53" s="22">
        <v>6.1150000000000002</v>
      </c>
      <c r="Q53" s="23">
        <v>9.43</v>
      </c>
      <c r="R53" s="1">
        <v>20500</v>
      </c>
    </row>
    <row r="54" spans="1:18">
      <c r="A54" s="23">
        <v>5.28</v>
      </c>
      <c r="B54" s="17">
        <f t="shared" si="0"/>
        <v>25000</v>
      </c>
      <c r="C54" s="17">
        <v>25</v>
      </c>
      <c r="E54" s="23">
        <v>5.28</v>
      </c>
      <c r="F54" s="22">
        <v>6.5110000000000001</v>
      </c>
      <c r="G54" s="1">
        <v>25000</v>
      </c>
      <c r="I54" s="24">
        <v>0.42</v>
      </c>
      <c r="J54" s="19">
        <v>0.21100000000000002</v>
      </c>
      <c r="K54" s="20">
        <v>5.64</v>
      </c>
      <c r="L54" s="17">
        <v>0.439</v>
      </c>
      <c r="M54" s="17">
        <v>4</v>
      </c>
      <c r="N54" s="21">
        <v>243</v>
      </c>
      <c r="O54" s="17">
        <v>16.8</v>
      </c>
      <c r="P54" s="22">
        <v>6.5110000000000001</v>
      </c>
      <c r="Q54" s="23">
        <v>5.28</v>
      </c>
      <c r="R54" s="1">
        <v>25000</v>
      </c>
    </row>
    <row r="55" spans="1:18">
      <c r="A55" s="23">
        <v>8.43</v>
      </c>
      <c r="B55" s="17">
        <f t="shared" si="0"/>
        <v>23400</v>
      </c>
      <c r="C55" s="17">
        <v>23.4</v>
      </c>
      <c r="E55" s="23">
        <v>8.43</v>
      </c>
      <c r="F55" s="22">
        <v>5.9980000000000002</v>
      </c>
      <c r="G55" s="1">
        <v>23400</v>
      </c>
      <c r="I55" s="24">
        <v>5.84</v>
      </c>
      <c r="J55" s="19">
        <v>0.214</v>
      </c>
      <c r="K55" s="20">
        <v>5.64</v>
      </c>
      <c r="L55" s="17">
        <v>0.439</v>
      </c>
      <c r="M55" s="17">
        <v>4</v>
      </c>
      <c r="N55" s="21">
        <v>243</v>
      </c>
      <c r="O55" s="17">
        <v>16.8</v>
      </c>
      <c r="P55" s="22">
        <v>5.9980000000000002</v>
      </c>
      <c r="Q55" s="23">
        <v>8.43</v>
      </c>
      <c r="R55" s="1">
        <v>23400</v>
      </c>
    </row>
    <row r="56" spans="1:18">
      <c r="A56" s="23">
        <v>14.8</v>
      </c>
      <c r="B56" s="17">
        <f t="shared" si="0"/>
        <v>18900</v>
      </c>
      <c r="C56" s="17">
        <v>18.899999999999999</v>
      </c>
      <c r="E56" s="23">
        <v>14.8</v>
      </c>
      <c r="F56" s="22">
        <v>5.8879999999999999</v>
      </c>
      <c r="G56" s="1">
        <v>18900</v>
      </c>
      <c r="I56" s="24">
        <v>1.51</v>
      </c>
      <c r="J56" s="19">
        <v>0.47600000000000003</v>
      </c>
      <c r="K56" s="20">
        <v>4</v>
      </c>
      <c r="L56" s="17">
        <v>0.41</v>
      </c>
      <c r="M56" s="17">
        <v>3</v>
      </c>
      <c r="N56" s="21">
        <v>469</v>
      </c>
      <c r="O56" s="17">
        <v>21.1</v>
      </c>
      <c r="P56" s="22">
        <v>5.8879999999999999</v>
      </c>
      <c r="Q56" s="23">
        <v>14.8</v>
      </c>
      <c r="R56" s="1">
        <v>18900</v>
      </c>
    </row>
    <row r="57" spans="1:18">
      <c r="A57" s="23">
        <v>4.8099999999999996</v>
      </c>
      <c r="B57" s="17">
        <f t="shared" si="0"/>
        <v>35400</v>
      </c>
      <c r="C57" s="17">
        <v>35.4</v>
      </c>
      <c r="E57" s="23">
        <v>4.8099999999999996</v>
      </c>
      <c r="F57" s="22">
        <v>7.2489999999999997</v>
      </c>
      <c r="G57" s="1">
        <v>35400</v>
      </c>
      <c r="I57" s="24">
        <v>5.03</v>
      </c>
      <c r="J57" s="19">
        <v>0.219</v>
      </c>
      <c r="K57" s="20">
        <v>1.22</v>
      </c>
      <c r="L57" s="17">
        <v>0.40300000000000002</v>
      </c>
      <c r="M57" s="17">
        <v>5</v>
      </c>
      <c r="N57" s="21">
        <v>226</v>
      </c>
      <c r="O57" s="17">
        <v>17.899999999999999</v>
      </c>
      <c r="P57" s="22">
        <v>7.2489999999999997</v>
      </c>
      <c r="Q57" s="23">
        <v>4.8099999999999996</v>
      </c>
      <c r="R57" s="1">
        <v>35400</v>
      </c>
    </row>
    <row r="58" spans="1:18">
      <c r="A58" s="23">
        <v>5.77</v>
      </c>
      <c r="B58" s="17">
        <f t="shared" si="0"/>
        <v>24700</v>
      </c>
      <c r="C58" s="17">
        <v>24.7</v>
      </c>
      <c r="E58" s="23">
        <v>5.77</v>
      </c>
      <c r="F58" s="22">
        <v>6.383</v>
      </c>
      <c r="G58" s="1">
        <v>24700</v>
      </c>
      <c r="I58" s="24">
        <v>7.17</v>
      </c>
      <c r="J58" s="19">
        <v>0.35700000000000004</v>
      </c>
      <c r="K58" s="20">
        <v>0.74</v>
      </c>
      <c r="L58" s="17">
        <v>0.41</v>
      </c>
      <c r="M58" s="17">
        <v>2</v>
      </c>
      <c r="N58" s="21">
        <v>313</v>
      </c>
      <c r="O58" s="17">
        <v>17.3</v>
      </c>
      <c r="P58" s="22">
        <v>6.383</v>
      </c>
      <c r="Q58" s="23">
        <v>5.77</v>
      </c>
      <c r="R58" s="1">
        <v>24700</v>
      </c>
    </row>
    <row r="59" spans="1:18">
      <c r="A59" s="23">
        <v>3.95</v>
      </c>
      <c r="B59" s="17">
        <f t="shared" si="0"/>
        <v>31600</v>
      </c>
      <c r="C59" s="17">
        <v>31.6</v>
      </c>
      <c r="E59" s="23">
        <v>3.95</v>
      </c>
      <c r="F59" s="22">
        <v>6.8159999999999998</v>
      </c>
      <c r="G59" s="1">
        <v>31600</v>
      </c>
      <c r="I59" s="24">
        <v>3.6</v>
      </c>
      <c r="J59" s="19">
        <v>0.40500000000000003</v>
      </c>
      <c r="K59" s="20">
        <v>1.32</v>
      </c>
      <c r="L59" s="17">
        <v>0.41099999999999998</v>
      </c>
      <c r="M59" s="17">
        <v>5</v>
      </c>
      <c r="N59" s="21">
        <v>256</v>
      </c>
      <c r="O59" s="17">
        <v>15.1</v>
      </c>
      <c r="P59" s="22">
        <v>6.8159999999999998</v>
      </c>
      <c r="Q59" s="23">
        <v>3.95</v>
      </c>
      <c r="R59" s="1">
        <v>31600</v>
      </c>
    </row>
    <row r="60" spans="1:18">
      <c r="A60" s="23">
        <v>6.86</v>
      </c>
      <c r="B60" s="17">
        <f t="shared" si="0"/>
        <v>23300</v>
      </c>
      <c r="C60" s="17">
        <v>23.3</v>
      </c>
      <c r="E60" s="23">
        <v>6.86</v>
      </c>
      <c r="F60" s="22">
        <v>6.1449999999999996</v>
      </c>
      <c r="G60" s="1">
        <v>23300</v>
      </c>
      <c r="I60" s="24">
        <v>3.01</v>
      </c>
      <c r="J60" s="19">
        <v>0.29199999999999998</v>
      </c>
      <c r="K60" s="20">
        <v>5.13</v>
      </c>
      <c r="L60" s="17">
        <v>0.45300000000000001</v>
      </c>
      <c r="M60" s="17">
        <v>8</v>
      </c>
      <c r="N60" s="21">
        <v>284</v>
      </c>
      <c r="O60" s="17">
        <v>19.7</v>
      </c>
      <c r="P60" s="22">
        <v>6.1449999999999996</v>
      </c>
      <c r="Q60" s="23">
        <v>6.86</v>
      </c>
      <c r="R60" s="1">
        <v>23300</v>
      </c>
    </row>
    <row r="61" spans="1:18">
      <c r="A61" s="23">
        <v>9.2200000000000006</v>
      </c>
      <c r="B61" s="17">
        <f t="shared" si="0"/>
        <v>19600</v>
      </c>
      <c r="C61" s="17">
        <v>19.600000000000001</v>
      </c>
      <c r="E61" s="23">
        <v>9.2200000000000006</v>
      </c>
      <c r="F61" s="22">
        <v>5.9269999999999996</v>
      </c>
      <c r="G61" s="1">
        <v>19600</v>
      </c>
      <c r="I61" s="24">
        <v>0.73</v>
      </c>
      <c r="J61" s="19">
        <v>0.47200000000000003</v>
      </c>
      <c r="K61" s="20">
        <v>5.13</v>
      </c>
      <c r="L61" s="17">
        <v>0.45300000000000001</v>
      </c>
      <c r="M61" s="17">
        <v>8</v>
      </c>
      <c r="N61" s="21">
        <v>284</v>
      </c>
      <c r="O61" s="17">
        <v>19.7</v>
      </c>
      <c r="P61" s="22">
        <v>5.9269999999999996</v>
      </c>
      <c r="Q61" s="23">
        <v>9.2200000000000006</v>
      </c>
      <c r="R61" s="1">
        <v>19600</v>
      </c>
    </row>
    <row r="62" spans="1:18">
      <c r="A62" s="23">
        <v>13.15</v>
      </c>
      <c r="B62" s="17">
        <f t="shared" si="0"/>
        <v>18700</v>
      </c>
      <c r="C62" s="17">
        <v>18.7</v>
      </c>
      <c r="E62" s="23">
        <v>13.15</v>
      </c>
      <c r="F62" s="22">
        <v>5.7409999999999997</v>
      </c>
      <c r="G62" s="1">
        <v>18700</v>
      </c>
      <c r="I62" s="24">
        <v>3.3</v>
      </c>
      <c r="J62" s="19">
        <v>0.66200000000000003</v>
      </c>
      <c r="K62" s="20">
        <v>5.13</v>
      </c>
      <c r="L62" s="17">
        <v>0.45300000000000001</v>
      </c>
      <c r="M62" s="17">
        <v>8</v>
      </c>
      <c r="N62" s="21">
        <v>284</v>
      </c>
      <c r="O62" s="17">
        <v>19.7</v>
      </c>
      <c r="P62" s="22">
        <v>5.7409999999999997</v>
      </c>
      <c r="Q62" s="23">
        <v>13.15</v>
      </c>
      <c r="R62" s="1">
        <v>18700</v>
      </c>
    </row>
    <row r="63" spans="1:18">
      <c r="A63" s="23">
        <v>14.44</v>
      </c>
      <c r="B63" s="17">
        <f t="shared" si="0"/>
        <v>16000</v>
      </c>
      <c r="C63" s="17">
        <v>16</v>
      </c>
      <c r="E63" s="23">
        <v>14.44</v>
      </c>
      <c r="F63" s="22">
        <v>5.9660000000000002</v>
      </c>
      <c r="G63" s="1">
        <v>16000</v>
      </c>
      <c r="I63" s="24">
        <v>1.97</v>
      </c>
      <c r="J63" s="19">
        <v>0.93400000000000005</v>
      </c>
      <c r="K63" s="20">
        <v>5.13</v>
      </c>
      <c r="L63" s="17">
        <v>0.45300000000000001</v>
      </c>
      <c r="M63" s="17">
        <v>8</v>
      </c>
      <c r="N63" s="21">
        <v>284</v>
      </c>
      <c r="O63" s="17">
        <v>19.7</v>
      </c>
      <c r="P63" s="22">
        <v>5.9660000000000002</v>
      </c>
      <c r="Q63" s="23">
        <v>14.44</v>
      </c>
      <c r="R63" s="1">
        <v>16000</v>
      </c>
    </row>
    <row r="64" spans="1:18">
      <c r="A64" s="23">
        <v>6.73</v>
      </c>
      <c r="B64" s="17">
        <f t="shared" si="0"/>
        <v>22200</v>
      </c>
      <c r="C64" s="17">
        <v>22.2</v>
      </c>
      <c r="E64" s="23">
        <v>6.73</v>
      </c>
      <c r="F64" s="22">
        <v>6.4560000000000004</v>
      </c>
      <c r="G64" s="1">
        <v>22200</v>
      </c>
      <c r="I64" s="24">
        <v>9.65</v>
      </c>
      <c r="J64" s="19">
        <v>0.67799999999999994</v>
      </c>
      <c r="K64" s="20">
        <v>5.13</v>
      </c>
      <c r="L64" s="17">
        <v>0.45300000000000001</v>
      </c>
      <c r="M64" s="17">
        <v>8</v>
      </c>
      <c r="N64" s="21">
        <v>284</v>
      </c>
      <c r="O64" s="17">
        <v>19.7</v>
      </c>
      <c r="P64" s="22">
        <v>6.4560000000000004</v>
      </c>
      <c r="Q64" s="23">
        <v>6.73</v>
      </c>
      <c r="R64" s="1">
        <v>22200</v>
      </c>
    </row>
    <row r="65" spans="1:18">
      <c r="A65" s="23">
        <v>9.5</v>
      </c>
      <c r="B65" s="17">
        <f t="shared" si="0"/>
        <v>25000</v>
      </c>
      <c r="C65" s="17">
        <v>25</v>
      </c>
      <c r="E65" s="23">
        <v>9.5</v>
      </c>
      <c r="F65" s="22">
        <v>6.7619999999999996</v>
      </c>
      <c r="G65" s="1">
        <v>25000</v>
      </c>
      <c r="I65" s="24">
        <v>0.43</v>
      </c>
      <c r="J65" s="19">
        <v>0.434</v>
      </c>
      <c r="K65" s="20">
        <v>5.13</v>
      </c>
      <c r="L65" s="17">
        <v>0.45300000000000001</v>
      </c>
      <c r="M65" s="17">
        <v>8</v>
      </c>
      <c r="N65" s="21">
        <v>284</v>
      </c>
      <c r="O65" s="17">
        <v>19.7</v>
      </c>
      <c r="P65" s="22">
        <v>6.7619999999999996</v>
      </c>
      <c r="Q65" s="23">
        <v>9.5</v>
      </c>
      <c r="R65" s="1">
        <v>25000</v>
      </c>
    </row>
    <row r="66" spans="1:18">
      <c r="A66" s="23">
        <v>8.0500000000000007</v>
      </c>
      <c r="B66" s="17">
        <f t="shared" si="0"/>
        <v>33000</v>
      </c>
      <c r="C66" s="17">
        <v>33</v>
      </c>
      <c r="E66" s="23">
        <v>8.0500000000000007</v>
      </c>
      <c r="F66" s="22">
        <v>7.1040000000000001</v>
      </c>
      <c r="G66" s="1">
        <v>33000</v>
      </c>
      <c r="I66" s="24">
        <v>1.97</v>
      </c>
      <c r="J66" s="19">
        <v>0.59499999999999997</v>
      </c>
      <c r="K66" s="20">
        <v>1.38</v>
      </c>
      <c r="L66" s="17">
        <v>0.41610000000000003</v>
      </c>
      <c r="M66" s="17">
        <v>3</v>
      </c>
      <c r="N66" s="21">
        <v>216</v>
      </c>
      <c r="O66" s="17">
        <v>18.600000000000001</v>
      </c>
      <c r="P66" s="22">
        <v>7.1040000000000001</v>
      </c>
      <c r="Q66" s="23">
        <v>8.0500000000000007</v>
      </c>
      <c r="R66" s="1">
        <v>33000</v>
      </c>
    </row>
    <row r="67" spans="1:18">
      <c r="A67" s="23">
        <v>4.67</v>
      </c>
      <c r="B67" s="17">
        <f t="shared" ref="B67:B130" si="1">C67*1000</f>
        <v>23500</v>
      </c>
      <c r="C67" s="17">
        <v>23.5</v>
      </c>
      <c r="E67" s="23">
        <v>4.67</v>
      </c>
      <c r="F67" s="22">
        <v>6.29</v>
      </c>
      <c r="G67" s="1">
        <v>23500</v>
      </c>
      <c r="I67" s="24">
        <v>7.65</v>
      </c>
      <c r="J67" s="19">
        <v>0.17800000000000002</v>
      </c>
      <c r="K67" s="20">
        <v>3.37</v>
      </c>
      <c r="L67" s="17">
        <v>0.39800000000000002</v>
      </c>
      <c r="M67" s="17">
        <v>4</v>
      </c>
      <c r="N67" s="21">
        <v>337</v>
      </c>
      <c r="O67" s="17">
        <v>16.100000000000001</v>
      </c>
      <c r="P67" s="22">
        <v>6.29</v>
      </c>
      <c r="Q67" s="23">
        <v>4.67</v>
      </c>
      <c r="R67" s="1">
        <v>23500</v>
      </c>
    </row>
    <row r="68" spans="1:18">
      <c r="A68" s="23">
        <v>10.24</v>
      </c>
      <c r="B68" s="17">
        <f t="shared" si="1"/>
        <v>19400</v>
      </c>
      <c r="C68" s="17">
        <v>19.399999999999999</v>
      </c>
      <c r="E68" s="23">
        <v>10.24</v>
      </c>
      <c r="F68" s="22">
        <v>5.7869999999999999</v>
      </c>
      <c r="G68" s="1">
        <v>19400</v>
      </c>
      <c r="I68" s="24">
        <v>7.48</v>
      </c>
      <c r="J68" s="19">
        <v>0.311</v>
      </c>
      <c r="K68" s="20">
        <v>3.37</v>
      </c>
      <c r="L68" s="17">
        <v>0.39800000000000002</v>
      </c>
      <c r="M68" s="17">
        <v>4</v>
      </c>
      <c r="N68" s="21">
        <v>337</v>
      </c>
      <c r="O68" s="17">
        <v>16.100000000000001</v>
      </c>
      <c r="P68" s="22">
        <v>5.7869999999999999</v>
      </c>
      <c r="Q68" s="23">
        <v>10.24</v>
      </c>
      <c r="R68" s="1">
        <v>19400</v>
      </c>
    </row>
    <row r="69" spans="1:18">
      <c r="A69" s="23">
        <v>8.1</v>
      </c>
      <c r="B69" s="17">
        <f t="shared" si="1"/>
        <v>22000</v>
      </c>
      <c r="C69" s="17">
        <v>22</v>
      </c>
      <c r="E69" s="23">
        <v>8.1</v>
      </c>
      <c r="F69" s="22">
        <v>5.8780000000000001</v>
      </c>
      <c r="G69" s="1">
        <v>22000</v>
      </c>
      <c r="I69" s="24">
        <v>5.7</v>
      </c>
      <c r="J69" s="19">
        <v>0.214</v>
      </c>
      <c r="K69" s="20">
        <v>6.07</v>
      </c>
      <c r="L69" s="17">
        <v>0.40899999999999997</v>
      </c>
      <c r="M69" s="17">
        <v>4</v>
      </c>
      <c r="N69" s="21">
        <v>345</v>
      </c>
      <c r="O69" s="17">
        <v>18.899999999999999</v>
      </c>
      <c r="P69" s="22">
        <v>5.8780000000000001</v>
      </c>
      <c r="Q69" s="23">
        <v>8.1</v>
      </c>
      <c r="R69" s="1">
        <v>22000</v>
      </c>
    </row>
    <row r="70" spans="1:18">
      <c r="A70" s="23">
        <v>13.09</v>
      </c>
      <c r="B70" s="17">
        <f t="shared" si="1"/>
        <v>17400</v>
      </c>
      <c r="C70" s="17">
        <v>17.399999999999999</v>
      </c>
      <c r="E70" s="23">
        <v>13.09</v>
      </c>
      <c r="F70" s="22">
        <v>5.5940000000000003</v>
      </c>
      <c r="G70" s="1">
        <v>17400</v>
      </c>
      <c r="I70" s="24">
        <v>5.94</v>
      </c>
      <c r="J70" s="19">
        <v>0.36799999999999999</v>
      </c>
      <c r="K70" s="20">
        <v>6.07</v>
      </c>
      <c r="L70" s="17">
        <v>0.40899999999999997</v>
      </c>
      <c r="M70" s="17">
        <v>4</v>
      </c>
      <c r="N70" s="21">
        <v>345</v>
      </c>
      <c r="O70" s="17">
        <v>18.899999999999999</v>
      </c>
      <c r="P70" s="22">
        <v>5.5940000000000003</v>
      </c>
      <c r="Q70" s="23">
        <v>13.09</v>
      </c>
      <c r="R70" s="1">
        <v>17400</v>
      </c>
    </row>
    <row r="71" spans="1:18">
      <c r="A71" s="23">
        <v>8.7899999999999991</v>
      </c>
      <c r="B71" s="17">
        <f t="shared" si="1"/>
        <v>20900</v>
      </c>
      <c r="C71" s="17">
        <v>20.9</v>
      </c>
      <c r="E71" s="23">
        <v>8.7899999999999991</v>
      </c>
      <c r="F71" s="22">
        <v>5.8849999999999998</v>
      </c>
      <c r="G71" s="1">
        <v>20900</v>
      </c>
      <c r="I71" s="24">
        <v>3.96</v>
      </c>
      <c r="J71" s="19">
        <v>0.33</v>
      </c>
      <c r="K71" s="20">
        <v>6.07</v>
      </c>
      <c r="L71" s="17">
        <v>0.40899999999999997</v>
      </c>
      <c r="M71" s="17">
        <v>4</v>
      </c>
      <c r="N71" s="21">
        <v>345</v>
      </c>
      <c r="O71" s="17">
        <v>18.899999999999999</v>
      </c>
      <c r="P71" s="22">
        <v>5.8849999999999998</v>
      </c>
      <c r="Q71" s="23">
        <v>8.7899999999999991</v>
      </c>
      <c r="R71" s="1">
        <v>20900</v>
      </c>
    </row>
    <row r="72" spans="1:18">
      <c r="A72" s="23">
        <v>6.72</v>
      </c>
      <c r="B72" s="17">
        <f t="shared" si="1"/>
        <v>24200</v>
      </c>
      <c r="C72" s="17">
        <v>24.2</v>
      </c>
      <c r="E72" s="23">
        <v>6.72</v>
      </c>
      <c r="F72" s="22">
        <v>6.4169999999999998</v>
      </c>
      <c r="G72" s="1">
        <v>24200</v>
      </c>
      <c r="I72" s="24">
        <v>4.8600000000000003</v>
      </c>
      <c r="J72" s="19">
        <v>6.6000000000000003E-2</v>
      </c>
      <c r="K72" s="20">
        <v>10.81</v>
      </c>
      <c r="L72" s="17">
        <v>0.41299999999999998</v>
      </c>
      <c r="M72" s="17">
        <v>4</v>
      </c>
      <c r="N72" s="21">
        <v>305</v>
      </c>
      <c r="O72" s="17">
        <v>19.2</v>
      </c>
      <c r="P72" s="22">
        <v>6.4169999999999998</v>
      </c>
      <c r="Q72" s="23">
        <v>6.72</v>
      </c>
      <c r="R72" s="1">
        <v>24200</v>
      </c>
    </row>
    <row r="73" spans="1:18">
      <c r="A73" s="23">
        <v>9.8800000000000008</v>
      </c>
      <c r="B73" s="17">
        <f t="shared" si="1"/>
        <v>21700</v>
      </c>
      <c r="C73" s="17">
        <v>21.7</v>
      </c>
      <c r="E73" s="23">
        <v>9.8800000000000008</v>
      </c>
      <c r="F73" s="22">
        <v>5.9610000000000003</v>
      </c>
      <c r="G73" s="1">
        <v>21700</v>
      </c>
      <c r="I73" s="24">
        <v>0.63</v>
      </c>
      <c r="J73" s="19">
        <v>0.17500000000000002</v>
      </c>
      <c r="K73" s="20">
        <v>10.81</v>
      </c>
      <c r="L73" s="17">
        <v>0.41299999999999998</v>
      </c>
      <c r="M73" s="17">
        <v>4</v>
      </c>
      <c r="N73" s="21">
        <v>305</v>
      </c>
      <c r="O73" s="17">
        <v>19.2</v>
      </c>
      <c r="P73" s="22">
        <v>5.9610000000000003</v>
      </c>
      <c r="Q73" s="23">
        <v>9.8800000000000008</v>
      </c>
      <c r="R73" s="1">
        <v>21700</v>
      </c>
    </row>
    <row r="74" spans="1:18">
      <c r="A74" s="23">
        <v>5.52</v>
      </c>
      <c r="B74" s="17">
        <f t="shared" si="1"/>
        <v>22800</v>
      </c>
      <c r="C74" s="17">
        <v>22.8</v>
      </c>
      <c r="E74" s="23">
        <v>5.52</v>
      </c>
      <c r="F74" s="22">
        <v>6.0650000000000004</v>
      </c>
      <c r="G74" s="1">
        <v>22800</v>
      </c>
      <c r="I74" s="24">
        <v>1.0900000000000001</v>
      </c>
      <c r="J74" s="19">
        <v>7.8E-2</v>
      </c>
      <c r="K74" s="20">
        <v>10.81</v>
      </c>
      <c r="L74" s="17">
        <v>0.41299999999999998</v>
      </c>
      <c r="M74" s="17">
        <v>4</v>
      </c>
      <c r="N74" s="21">
        <v>305</v>
      </c>
      <c r="O74" s="17">
        <v>19.2</v>
      </c>
      <c r="P74" s="22">
        <v>6.0650000000000004</v>
      </c>
      <c r="Q74" s="23">
        <v>5.52</v>
      </c>
      <c r="R74" s="1">
        <v>22800</v>
      </c>
    </row>
    <row r="75" spans="1:18">
      <c r="A75" s="23">
        <v>7.54</v>
      </c>
      <c r="B75" s="17">
        <f t="shared" si="1"/>
        <v>23400</v>
      </c>
      <c r="C75" s="17">
        <v>23.4</v>
      </c>
      <c r="E75" s="23">
        <v>7.54</v>
      </c>
      <c r="F75" s="22">
        <v>6.2450000000000001</v>
      </c>
      <c r="G75" s="1">
        <v>23400</v>
      </c>
      <c r="I75" s="24">
        <v>3.28</v>
      </c>
      <c r="J75" s="19">
        <v>6.2000000000000006E-2</v>
      </c>
      <c r="K75" s="20">
        <v>10.81</v>
      </c>
      <c r="L75" s="17">
        <v>0.41299999999999998</v>
      </c>
      <c r="M75" s="17">
        <v>4</v>
      </c>
      <c r="N75" s="21">
        <v>305</v>
      </c>
      <c r="O75" s="17">
        <v>19.2</v>
      </c>
      <c r="P75" s="22">
        <v>6.2450000000000001</v>
      </c>
      <c r="Q75" s="23">
        <v>7.54</v>
      </c>
      <c r="R75" s="1">
        <v>23400</v>
      </c>
    </row>
    <row r="76" spans="1:18">
      <c r="A76" s="23">
        <v>6.78</v>
      </c>
      <c r="B76" s="17">
        <f t="shared" si="1"/>
        <v>24100</v>
      </c>
      <c r="C76" s="17">
        <v>24.1</v>
      </c>
      <c r="E76" s="23">
        <v>6.78</v>
      </c>
      <c r="F76" s="22">
        <v>6.2729999999999997</v>
      </c>
      <c r="G76" s="1">
        <v>24100</v>
      </c>
      <c r="I76" s="24">
        <v>6.44</v>
      </c>
      <c r="J76" s="19">
        <v>0.06</v>
      </c>
      <c r="K76" s="20">
        <v>12.83</v>
      </c>
      <c r="L76" s="17">
        <v>0.437</v>
      </c>
      <c r="M76" s="17">
        <v>5</v>
      </c>
      <c r="N76" s="21">
        <v>398</v>
      </c>
      <c r="O76" s="17">
        <v>18.7</v>
      </c>
      <c r="P76" s="22">
        <v>6.2729999999999997</v>
      </c>
      <c r="Q76" s="23">
        <v>6.78</v>
      </c>
      <c r="R76" s="1">
        <v>24100</v>
      </c>
    </row>
    <row r="77" spans="1:18">
      <c r="A77" s="23">
        <v>8.94</v>
      </c>
      <c r="B77" s="17">
        <f t="shared" si="1"/>
        <v>21400</v>
      </c>
      <c r="C77" s="17">
        <v>21.4</v>
      </c>
      <c r="E77" s="23">
        <v>8.94</v>
      </c>
      <c r="F77" s="22">
        <v>6.2859999999999996</v>
      </c>
      <c r="G77" s="1">
        <v>21400</v>
      </c>
      <c r="I77" s="24">
        <v>8.23</v>
      </c>
      <c r="J77" s="19">
        <v>0.45</v>
      </c>
      <c r="K77" s="20">
        <v>12.83</v>
      </c>
      <c r="L77" s="17">
        <v>0.437</v>
      </c>
      <c r="M77" s="17">
        <v>5</v>
      </c>
      <c r="N77" s="21">
        <v>398</v>
      </c>
      <c r="O77" s="17">
        <v>18.7</v>
      </c>
      <c r="P77" s="22">
        <v>6.2859999999999996</v>
      </c>
      <c r="Q77" s="23">
        <v>8.94</v>
      </c>
      <c r="R77" s="1">
        <v>21400</v>
      </c>
    </row>
    <row r="78" spans="1:18">
      <c r="A78" s="23">
        <v>11.97</v>
      </c>
      <c r="B78" s="17">
        <f t="shared" si="1"/>
        <v>20000</v>
      </c>
      <c r="C78" s="17">
        <v>20</v>
      </c>
      <c r="E78" s="23">
        <v>11.97</v>
      </c>
      <c r="F78" s="22">
        <v>6.2789999999999999</v>
      </c>
      <c r="G78" s="1">
        <v>20000</v>
      </c>
      <c r="I78" s="24">
        <v>2.99</v>
      </c>
      <c r="J78" s="19">
        <v>0.745</v>
      </c>
      <c r="K78" s="20">
        <v>12.83</v>
      </c>
      <c r="L78" s="17">
        <v>0.437</v>
      </c>
      <c r="M78" s="17">
        <v>5</v>
      </c>
      <c r="N78" s="21">
        <v>398</v>
      </c>
      <c r="O78" s="17">
        <v>18.7</v>
      </c>
      <c r="P78" s="22">
        <v>6.2789999999999999</v>
      </c>
      <c r="Q78" s="23">
        <v>11.97</v>
      </c>
      <c r="R78" s="1">
        <v>20000</v>
      </c>
    </row>
    <row r="79" spans="1:18">
      <c r="A79" s="23">
        <v>10.27</v>
      </c>
      <c r="B79" s="17">
        <f t="shared" si="1"/>
        <v>20800</v>
      </c>
      <c r="C79" s="17">
        <v>20.8</v>
      </c>
      <c r="E79" s="23">
        <v>10.27</v>
      </c>
      <c r="F79" s="22">
        <v>6.14</v>
      </c>
      <c r="G79" s="1">
        <v>20800</v>
      </c>
      <c r="I79" s="24">
        <v>7.67</v>
      </c>
      <c r="J79" s="19">
        <v>0.45799999999999996</v>
      </c>
      <c r="K79" s="20">
        <v>12.83</v>
      </c>
      <c r="L79" s="17">
        <v>0.437</v>
      </c>
      <c r="M79" s="17">
        <v>5</v>
      </c>
      <c r="N79" s="21">
        <v>398</v>
      </c>
      <c r="O79" s="17">
        <v>18.7</v>
      </c>
      <c r="P79" s="22">
        <v>6.14</v>
      </c>
      <c r="Q79" s="23">
        <v>10.27</v>
      </c>
      <c r="R79" s="1">
        <v>20800</v>
      </c>
    </row>
    <row r="80" spans="1:18">
      <c r="A80" s="23">
        <v>12.34</v>
      </c>
      <c r="B80" s="17">
        <f t="shared" si="1"/>
        <v>21200</v>
      </c>
      <c r="C80" s="17">
        <v>21.2</v>
      </c>
      <c r="E80" s="23">
        <v>12.34</v>
      </c>
      <c r="F80" s="22">
        <v>6.2320000000000002</v>
      </c>
      <c r="G80" s="1">
        <v>21200</v>
      </c>
      <c r="I80" s="24">
        <v>7.9</v>
      </c>
      <c r="J80" s="19">
        <v>0.53700000000000003</v>
      </c>
      <c r="K80" s="20">
        <v>12.83</v>
      </c>
      <c r="L80" s="17">
        <v>0.437</v>
      </c>
      <c r="M80" s="17">
        <v>5</v>
      </c>
      <c r="N80" s="21">
        <v>398</v>
      </c>
      <c r="O80" s="17">
        <v>18.7</v>
      </c>
      <c r="P80" s="22">
        <v>6.2320000000000002</v>
      </c>
      <c r="Q80" s="23">
        <v>12.34</v>
      </c>
      <c r="R80" s="1">
        <v>21200</v>
      </c>
    </row>
    <row r="81" spans="1:18">
      <c r="A81" s="23">
        <v>9.1</v>
      </c>
      <c r="B81" s="17">
        <f t="shared" si="1"/>
        <v>20300</v>
      </c>
      <c r="C81" s="17">
        <v>20.3</v>
      </c>
      <c r="E81" s="23">
        <v>9.1</v>
      </c>
      <c r="F81" s="22">
        <v>5.8739999999999997</v>
      </c>
      <c r="G81" s="1">
        <v>20300</v>
      </c>
      <c r="I81" s="24">
        <v>3.84</v>
      </c>
      <c r="J81" s="19">
        <v>0.36600000000000005</v>
      </c>
      <c r="K81" s="20">
        <v>12.83</v>
      </c>
      <c r="L81" s="17">
        <v>0.437</v>
      </c>
      <c r="M81" s="17">
        <v>5</v>
      </c>
      <c r="N81" s="21">
        <v>398</v>
      </c>
      <c r="O81" s="17">
        <v>18.7</v>
      </c>
      <c r="P81" s="22">
        <v>5.8739999999999997</v>
      </c>
      <c r="Q81" s="23">
        <v>9.1</v>
      </c>
      <c r="R81" s="1">
        <v>20300</v>
      </c>
    </row>
    <row r="82" spans="1:18">
      <c r="A82" s="23">
        <v>5.29</v>
      </c>
      <c r="B82" s="17">
        <f t="shared" si="1"/>
        <v>28000</v>
      </c>
      <c r="C82" s="17">
        <v>28</v>
      </c>
      <c r="E82" s="23">
        <v>5.29</v>
      </c>
      <c r="F82" s="22">
        <v>6.7270000000000003</v>
      </c>
      <c r="G82" s="1">
        <v>28000</v>
      </c>
      <c r="I82" s="24">
        <v>9.23</v>
      </c>
      <c r="J82" s="19">
        <v>0.33500000000000002</v>
      </c>
      <c r="K82" s="20">
        <v>4.8600000000000003</v>
      </c>
      <c r="L82" s="17">
        <v>0.42599999999999999</v>
      </c>
      <c r="M82" s="17">
        <v>4</v>
      </c>
      <c r="N82" s="21">
        <v>281</v>
      </c>
      <c r="O82" s="17">
        <v>19</v>
      </c>
      <c r="P82" s="22">
        <v>6.7270000000000003</v>
      </c>
      <c r="Q82" s="23">
        <v>5.29</v>
      </c>
      <c r="R82" s="1">
        <v>28000</v>
      </c>
    </row>
    <row r="83" spans="1:18">
      <c r="A83" s="23">
        <v>7.22</v>
      </c>
      <c r="B83" s="17">
        <f t="shared" si="1"/>
        <v>23900</v>
      </c>
      <c r="C83" s="17">
        <v>23.9</v>
      </c>
      <c r="E83" s="23">
        <v>7.22</v>
      </c>
      <c r="F83" s="22">
        <v>6.6189999999999998</v>
      </c>
      <c r="G83" s="1">
        <v>23900</v>
      </c>
      <c r="I83" s="24">
        <v>1.05</v>
      </c>
      <c r="J83" s="19">
        <v>0.70400000000000007</v>
      </c>
      <c r="K83" s="20">
        <v>4.8600000000000003</v>
      </c>
      <c r="L83" s="17">
        <v>0.42599999999999999</v>
      </c>
      <c r="M83" s="17">
        <v>4</v>
      </c>
      <c r="N83" s="21">
        <v>281</v>
      </c>
      <c r="O83" s="17">
        <v>19</v>
      </c>
      <c r="P83" s="22">
        <v>6.6189999999999998</v>
      </c>
      <c r="Q83" s="23">
        <v>7.22</v>
      </c>
      <c r="R83" s="1">
        <v>23900</v>
      </c>
    </row>
    <row r="84" spans="1:18">
      <c r="A84" s="23">
        <v>6.72</v>
      </c>
      <c r="B84" s="17">
        <f t="shared" si="1"/>
        <v>24800</v>
      </c>
      <c r="C84" s="17">
        <v>24.8</v>
      </c>
      <c r="E84" s="23">
        <v>6.72</v>
      </c>
      <c r="F84" s="22">
        <v>6.3019999999999996</v>
      </c>
      <c r="G84" s="1">
        <v>24800</v>
      </c>
      <c r="I84" s="24">
        <v>1.96</v>
      </c>
      <c r="J84" s="19">
        <v>0.32200000000000001</v>
      </c>
      <c r="K84" s="20">
        <v>4.8600000000000003</v>
      </c>
      <c r="L84" s="17">
        <v>0.42599999999999999</v>
      </c>
      <c r="M84" s="17">
        <v>4</v>
      </c>
      <c r="N84" s="21">
        <v>281</v>
      </c>
      <c r="O84" s="17">
        <v>19</v>
      </c>
      <c r="P84" s="22">
        <v>6.3019999999999996</v>
      </c>
      <c r="Q84" s="23">
        <v>6.72</v>
      </c>
      <c r="R84" s="1">
        <v>24800</v>
      </c>
    </row>
    <row r="85" spans="1:18">
      <c r="A85" s="23">
        <v>7.51</v>
      </c>
      <c r="B85" s="17">
        <f t="shared" si="1"/>
        <v>22900</v>
      </c>
      <c r="C85" s="17">
        <v>22.9</v>
      </c>
      <c r="E85" s="23">
        <v>7.51</v>
      </c>
      <c r="F85" s="22">
        <v>6.1669999999999998</v>
      </c>
      <c r="G85" s="1">
        <v>22900</v>
      </c>
      <c r="I85" s="24">
        <v>3.43</v>
      </c>
      <c r="J85" s="19">
        <v>0.46700000000000003</v>
      </c>
      <c r="K85" s="20">
        <v>4.8600000000000003</v>
      </c>
      <c r="L85" s="17">
        <v>0.42599999999999999</v>
      </c>
      <c r="M85" s="17">
        <v>4</v>
      </c>
      <c r="N85" s="21">
        <v>281</v>
      </c>
      <c r="O85" s="17">
        <v>19</v>
      </c>
      <c r="P85" s="22">
        <v>6.1669999999999998</v>
      </c>
      <c r="Q85" s="23">
        <v>7.51</v>
      </c>
      <c r="R85" s="1">
        <v>22900</v>
      </c>
    </row>
    <row r="86" spans="1:18">
      <c r="A86" s="23">
        <v>9.6199999999999992</v>
      </c>
      <c r="B86" s="17">
        <f t="shared" si="1"/>
        <v>23900</v>
      </c>
      <c r="C86" s="17">
        <v>23.9</v>
      </c>
      <c r="E86" s="23">
        <v>9.6199999999999992</v>
      </c>
      <c r="F86" s="22">
        <v>6.3890000000000002</v>
      </c>
      <c r="G86" s="1">
        <v>23900</v>
      </c>
      <c r="I86" s="24">
        <v>6.36</v>
      </c>
      <c r="J86" s="19">
        <v>0.48</v>
      </c>
      <c r="K86" s="20">
        <v>4.49</v>
      </c>
      <c r="L86" s="17">
        <v>0.44900000000000001</v>
      </c>
      <c r="M86" s="17">
        <v>3</v>
      </c>
      <c r="N86" s="21">
        <v>247</v>
      </c>
      <c r="O86" s="17">
        <v>18.5</v>
      </c>
      <c r="P86" s="22">
        <v>6.3890000000000002</v>
      </c>
      <c r="Q86" s="23">
        <v>9.6199999999999992</v>
      </c>
      <c r="R86" s="1">
        <v>23900</v>
      </c>
    </row>
    <row r="87" spans="1:18">
      <c r="A87" s="23">
        <v>6.53</v>
      </c>
      <c r="B87" s="17">
        <f t="shared" si="1"/>
        <v>26600</v>
      </c>
      <c r="C87" s="17">
        <v>26.6</v>
      </c>
      <c r="E87" s="23">
        <v>6.53</v>
      </c>
      <c r="F87" s="22">
        <v>6.63</v>
      </c>
      <c r="G87" s="1">
        <v>26600</v>
      </c>
      <c r="I87" s="24">
        <v>6.55</v>
      </c>
      <c r="J87" s="19">
        <v>0.56100000000000005</v>
      </c>
      <c r="K87" s="20">
        <v>4.49</v>
      </c>
      <c r="L87" s="17">
        <v>0.44900000000000001</v>
      </c>
      <c r="M87" s="17">
        <v>3</v>
      </c>
      <c r="N87" s="21">
        <v>247</v>
      </c>
      <c r="O87" s="17">
        <v>18.5</v>
      </c>
      <c r="P87" s="22">
        <v>6.63</v>
      </c>
      <c r="Q87" s="23">
        <v>6.53</v>
      </c>
      <c r="R87" s="1">
        <v>26600</v>
      </c>
    </row>
    <row r="88" spans="1:18">
      <c r="A88" s="23">
        <v>12.86</v>
      </c>
      <c r="B88" s="17">
        <f t="shared" si="1"/>
        <v>22500</v>
      </c>
      <c r="C88" s="17">
        <v>22.5</v>
      </c>
      <c r="E88" s="23">
        <v>12.86</v>
      </c>
      <c r="F88" s="22">
        <v>6.0149999999999997</v>
      </c>
      <c r="G88" s="1">
        <v>22500</v>
      </c>
      <c r="I88" s="24">
        <v>6.42</v>
      </c>
      <c r="J88" s="19">
        <v>0.45100000000000001</v>
      </c>
      <c r="K88" s="20">
        <v>4.49</v>
      </c>
      <c r="L88" s="17">
        <v>0.44900000000000001</v>
      </c>
      <c r="M88" s="17">
        <v>3</v>
      </c>
      <c r="N88" s="21">
        <v>247</v>
      </c>
      <c r="O88" s="17">
        <v>18.5</v>
      </c>
      <c r="P88" s="22">
        <v>6.0149999999999997</v>
      </c>
      <c r="Q88" s="23">
        <v>12.86</v>
      </c>
      <c r="R88" s="1">
        <v>22500</v>
      </c>
    </row>
    <row r="89" spans="1:18">
      <c r="A89" s="23">
        <v>8.44</v>
      </c>
      <c r="B89" s="17">
        <f t="shared" si="1"/>
        <v>22200</v>
      </c>
      <c r="C89" s="17">
        <v>22.2</v>
      </c>
      <c r="E89" s="23">
        <v>8.44</v>
      </c>
      <c r="F89" s="22">
        <v>6.1210000000000004</v>
      </c>
      <c r="G89" s="1">
        <v>22200</v>
      </c>
      <c r="I89" s="24">
        <v>3.15</v>
      </c>
      <c r="J89" s="19">
        <v>0.56799999999999995</v>
      </c>
      <c r="K89" s="20">
        <v>4.49</v>
      </c>
      <c r="L89" s="17">
        <v>0.44900000000000001</v>
      </c>
      <c r="M89" s="17">
        <v>3</v>
      </c>
      <c r="N89" s="21">
        <v>247</v>
      </c>
      <c r="O89" s="17">
        <v>18.5</v>
      </c>
      <c r="P89" s="22">
        <v>6.1210000000000004</v>
      </c>
      <c r="Q89" s="23">
        <v>8.44</v>
      </c>
      <c r="R89" s="1">
        <v>22200</v>
      </c>
    </row>
    <row r="90" spans="1:18">
      <c r="A90" s="23">
        <v>5.5</v>
      </c>
      <c r="B90" s="17">
        <f t="shared" si="1"/>
        <v>23600</v>
      </c>
      <c r="C90" s="17">
        <v>23.6</v>
      </c>
      <c r="E90" s="23">
        <v>5.5</v>
      </c>
      <c r="F90" s="22">
        <v>7.0069999999999997</v>
      </c>
      <c r="G90" s="1">
        <v>23600</v>
      </c>
      <c r="I90" s="24">
        <v>9.27</v>
      </c>
      <c r="J90" s="19">
        <v>0.86299999999999999</v>
      </c>
      <c r="K90" s="20">
        <v>3.41</v>
      </c>
      <c r="L90" s="17">
        <v>0.48899999999999999</v>
      </c>
      <c r="M90" s="17">
        <v>2</v>
      </c>
      <c r="N90" s="21">
        <v>270</v>
      </c>
      <c r="O90" s="17">
        <v>17.8</v>
      </c>
      <c r="P90" s="22">
        <v>7.0069999999999997</v>
      </c>
      <c r="Q90" s="23">
        <v>5.5</v>
      </c>
      <c r="R90" s="1">
        <v>23600</v>
      </c>
    </row>
    <row r="91" spans="1:18">
      <c r="A91" s="23">
        <v>5.7</v>
      </c>
      <c r="B91" s="17">
        <f t="shared" si="1"/>
        <v>28700</v>
      </c>
      <c r="C91" s="17">
        <v>28.7</v>
      </c>
      <c r="E91" s="23">
        <v>5.7</v>
      </c>
      <c r="F91" s="22">
        <v>7.0789999999999997</v>
      </c>
      <c r="G91" s="1">
        <v>28700</v>
      </c>
      <c r="I91" s="24">
        <v>3.7</v>
      </c>
      <c r="J91" s="19">
        <v>0.63100000000000001</v>
      </c>
      <c r="K91" s="20">
        <v>3.41</v>
      </c>
      <c r="L91" s="17">
        <v>0.48899999999999999</v>
      </c>
      <c r="M91" s="17">
        <v>2</v>
      </c>
      <c r="N91" s="21">
        <v>270</v>
      </c>
      <c r="O91" s="17">
        <v>17.8</v>
      </c>
      <c r="P91" s="22">
        <v>7.0789999999999997</v>
      </c>
      <c r="Q91" s="23">
        <v>5.7</v>
      </c>
      <c r="R91" s="1">
        <v>28700</v>
      </c>
    </row>
    <row r="92" spans="1:18">
      <c r="A92" s="23">
        <v>8.81</v>
      </c>
      <c r="B92" s="17">
        <f t="shared" si="1"/>
        <v>22600</v>
      </c>
      <c r="C92" s="17">
        <v>22.6</v>
      </c>
      <c r="E92" s="23">
        <v>8.81</v>
      </c>
      <c r="F92" s="22">
        <v>6.4169999999999998</v>
      </c>
      <c r="G92" s="1">
        <v>22600</v>
      </c>
      <c r="I92" s="24">
        <v>1.28</v>
      </c>
      <c r="J92" s="19">
        <v>0.66099999999999992</v>
      </c>
      <c r="K92" s="20">
        <v>3.41</v>
      </c>
      <c r="L92" s="17">
        <v>0.48899999999999999</v>
      </c>
      <c r="M92" s="17">
        <v>2</v>
      </c>
      <c r="N92" s="21">
        <v>270</v>
      </c>
      <c r="O92" s="17">
        <v>17.8</v>
      </c>
      <c r="P92" s="22">
        <v>6.4169999999999998</v>
      </c>
      <c r="Q92" s="23">
        <v>8.81</v>
      </c>
      <c r="R92" s="1">
        <v>22600</v>
      </c>
    </row>
    <row r="93" spans="1:18">
      <c r="A93" s="23">
        <v>8.1999999999999993</v>
      </c>
      <c r="B93" s="17">
        <f t="shared" si="1"/>
        <v>22000</v>
      </c>
      <c r="C93" s="17">
        <v>22</v>
      </c>
      <c r="E93" s="23">
        <v>8.1999999999999993</v>
      </c>
      <c r="F93" s="22">
        <v>6.4050000000000002</v>
      </c>
      <c r="G93" s="1">
        <v>22000</v>
      </c>
      <c r="I93" s="24">
        <v>0.91</v>
      </c>
      <c r="J93" s="19">
        <v>0.7390000000000001</v>
      </c>
      <c r="K93" s="20">
        <v>3.41</v>
      </c>
      <c r="L93" s="17">
        <v>0.48899999999999999</v>
      </c>
      <c r="M93" s="17">
        <v>2</v>
      </c>
      <c r="N93" s="21">
        <v>270</v>
      </c>
      <c r="O93" s="17">
        <v>17.8</v>
      </c>
      <c r="P93" s="22">
        <v>6.4050000000000002</v>
      </c>
      <c r="Q93" s="23">
        <v>8.1999999999999993</v>
      </c>
      <c r="R93" s="1">
        <v>22000</v>
      </c>
    </row>
    <row r="94" spans="1:18">
      <c r="A94" s="23">
        <v>8.16</v>
      </c>
      <c r="B94" s="17">
        <f t="shared" si="1"/>
        <v>22900</v>
      </c>
      <c r="C94" s="17">
        <v>22.9</v>
      </c>
      <c r="E94" s="23">
        <v>8.16</v>
      </c>
      <c r="F94" s="22">
        <v>6.4420000000000002</v>
      </c>
      <c r="G94" s="1">
        <v>22900</v>
      </c>
      <c r="I94" s="24">
        <v>9.07</v>
      </c>
      <c r="J94" s="19">
        <v>0.53600000000000003</v>
      </c>
      <c r="K94" s="20">
        <v>15.04</v>
      </c>
      <c r="L94" s="17">
        <v>0.46400000000000002</v>
      </c>
      <c r="M94" s="17">
        <v>4</v>
      </c>
      <c r="N94" s="21">
        <v>270</v>
      </c>
      <c r="O94" s="17">
        <v>18.2</v>
      </c>
      <c r="P94" s="22">
        <v>6.4420000000000002</v>
      </c>
      <c r="Q94" s="23">
        <v>8.16</v>
      </c>
      <c r="R94" s="1">
        <v>22900</v>
      </c>
    </row>
    <row r="95" spans="1:18">
      <c r="A95" s="23">
        <v>6.21</v>
      </c>
      <c r="B95" s="17">
        <f t="shared" si="1"/>
        <v>25000</v>
      </c>
      <c r="C95" s="17">
        <v>25</v>
      </c>
      <c r="E95" s="23">
        <v>6.21</v>
      </c>
      <c r="F95" s="22">
        <v>6.2110000000000003</v>
      </c>
      <c r="G95" s="1">
        <v>25000</v>
      </c>
      <c r="I95" s="24">
        <v>5.8</v>
      </c>
      <c r="J95" s="19">
        <v>0.28899999999999998</v>
      </c>
      <c r="K95" s="20">
        <v>15.04</v>
      </c>
      <c r="L95" s="17">
        <v>0.46400000000000002</v>
      </c>
      <c r="M95" s="17">
        <v>4</v>
      </c>
      <c r="N95" s="21">
        <v>270</v>
      </c>
      <c r="O95" s="17">
        <v>18.2</v>
      </c>
      <c r="P95" s="22">
        <v>6.2110000000000003</v>
      </c>
      <c r="Q95" s="23">
        <v>6.21</v>
      </c>
      <c r="R95" s="1">
        <v>25000</v>
      </c>
    </row>
    <row r="96" spans="1:18">
      <c r="A96" s="23">
        <v>10.59</v>
      </c>
      <c r="B96" s="17">
        <f t="shared" si="1"/>
        <v>20600</v>
      </c>
      <c r="C96" s="17">
        <v>20.6</v>
      </c>
      <c r="E96" s="23">
        <v>10.59</v>
      </c>
      <c r="F96" s="22">
        <v>6.2489999999999997</v>
      </c>
      <c r="G96" s="1">
        <v>20600</v>
      </c>
      <c r="I96" s="24">
        <v>2.61</v>
      </c>
      <c r="J96" s="19">
        <v>0.77300000000000002</v>
      </c>
      <c r="K96" s="20">
        <v>15.04</v>
      </c>
      <c r="L96" s="17">
        <v>0.46400000000000002</v>
      </c>
      <c r="M96" s="17">
        <v>4</v>
      </c>
      <c r="N96" s="21">
        <v>270</v>
      </c>
      <c r="O96" s="17">
        <v>18.2</v>
      </c>
      <c r="P96" s="22">
        <v>6.2489999999999997</v>
      </c>
      <c r="Q96" s="23">
        <v>10.59</v>
      </c>
      <c r="R96" s="1">
        <v>20600</v>
      </c>
    </row>
    <row r="97" spans="1:18">
      <c r="A97" s="23">
        <v>6.65</v>
      </c>
      <c r="B97" s="17">
        <f t="shared" si="1"/>
        <v>28400</v>
      </c>
      <c r="C97" s="17">
        <v>28.4</v>
      </c>
      <c r="E97" s="23">
        <v>6.65</v>
      </c>
      <c r="F97" s="22">
        <v>6.625</v>
      </c>
      <c r="G97" s="1">
        <v>28400</v>
      </c>
      <c r="I97" s="24">
        <v>7.21</v>
      </c>
      <c r="J97" s="19">
        <v>0.57799999999999996</v>
      </c>
      <c r="K97" s="20">
        <v>2.89</v>
      </c>
      <c r="L97" s="17">
        <v>0.44500000000000001</v>
      </c>
      <c r="M97" s="17">
        <v>2</v>
      </c>
      <c r="N97" s="21">
        <v>276</v>
      </c>
      <c r="O97" s="17">
        <v>18</v>
      </c>
      <c r="P97" s="22">
        <v>6.625</v>
      </c>
      <c r="Q97" s="23">
        <v>6.65</v>
      </c>
      <c r="R97" s="1">
        <v>28400</v>
      </c>
    </row>
    <row r="98" spans="1:18">
      <c r="A98" s="23">
        <v>11.34</v>
      </c>
      <c r="B98" s="17">
        <f t="shared" si="1"/>
        <v>21400</v>
      </c>
      <c r="C98" s="17">
        <v>21.4</v>
      </c>
      <c r="E98" s="23">
        <v>11.34</v>
      </c>
      <c r="F98" s="22">
        <v>6.1630000000000003</v>
      </c>
      <c r="G98" s="1">
        <v>21400</v>
      </c>
      <c r="I98" s="24">
        <v>3.15</v>
      </c>
      <c r="J98" s="19">
        <v>0.69599999999999995</v>
      </c>
      <c r="K98" s="20">
        <v>2.89</v>
      </c>
      <c r="L98" s="17">
        <v>0.44500000000000001</v>
      </c>
      <c r="M98" s="17">
        <v>2</v>
      </c>
      <c r="N98" s="21">
        <v>276</v>
      </c>
      <c r="O98" s="17">
        <v>18</v>
      </c>
      <c r="P98" s="22">
        <v>6.1630000000000003</v>
      </c>
      <c r="Q98" s="23">
        <v>11.34</v>
      </c>
      <c r="R98" s="1">
        <v>21400</v>
      </c>
    </row>
    <row r="99" spans="1:18">
      <c r="A99" s="23">
        <v>4.21</v>
      </c>
      <c r="B99" s="17">
        <f t="shared" si="1"/>
        <v>38700</v>
      </c>
      <c r="C99" s="17">
        <v>38.700000000000003</v>
      </c>
      <c r="E99" s="23">
        <v>4.21</v>
      </c>
      <c r="F99" s="22">
        <v>8.0690000000000008</v>
      </c>
      <c r="G99" s="1">
        <v>38700</v>
      </c>
      <c r="I99" s="24">
        <v>8.16</v>
      </c>
      <c r="J99" s="19">
        <v>0.76</v>
      </c>
      <c r="K99" s="20">
        <v>2.89</v>
      </c>
      <c r="L99" s="17">
        <v>0.44500000000000001</v>
      </c>
      <c r="M99" s="17">
        <v>2</v>
      </c>
      <c r="N99" s="21">
        <v>276</v>
      </c>
      <c r="O99" s="17">
        <v>18</v>
      </c>
      <c r="P99" s="22">
        <v>8.0690000000000008</v>
      </c>
      <c r="Q99" s="23">
        <v>4.21</v>
      </c>
      <c r="R99" s="1">
        <v>38700</v>
      </c>
    </row>
    <row r="100" spans="1:18">
      <c r="A100" s="23">
        <v>3.57</v>
      </c>
      <c r="B100" s="17">
        <f t="shared" si="1"/>
        <v>43800</v>
      </c>
      <c r="C100" s="17">
        <v>43.8</v>
      </c>
      <c r="E100" s="23">
        <v>3.57</v>
      </c>
      <c r="F100" s="22">
        <v>7.82</v>
      </c>
      <c r="G100" s="1">
        <v>43800</v>
      </c>
      <c r="I100" s="24">
        <v>5.75</v>
      </c>
      <c r="J100" s="19">
        <v>0.36899999999999999</v>
      </c>
      <c r="K100" s="20">
        <v>2.89</v>
      </c>
      <c r="L100" s="17">
        <v>0.44500000000000001</v>
      </c>
      <c r="M100" s="17">
        <v>2</v>
      </c>
      <c r="N100" s="21">
        <v>276</v>
      </c>
      <c r="O100" s="17">
        <v>18</v>
      </c>
      <c r="P100" s="22">
        <v>7.82</v>
      </c>
      <c r="Q100" s="23">
        <v>3.57</v>
      </c>
      <c r="R100" s="1">
        <v>43800</v>
      </c>
    </row>
    <row r="101" spans="1:18">
      <c r="A101" s="23">
        <v>6.19</v>
      </c>
      <c r="B101" s="17">
        <f t="shared" si="1"/>
        <v>33200</v>
      </c>
      <c r="C101" s="17">
        <v>33.200000000000003</v>
      </c>
      <c r="E101" s="23">
        <v>6.19</v>
      </c>
      <c r="F101" s="22">
        <v>7.4160000000000004</v>
      </c>
      <c r="G101" s="1">
        <v>33200</v>
      </c>
      <c r="I101" s="24">
        <v>4.46</v>
      </c>
      <c r="J101" s="19">
        <v>0.625</v>
      </c>
      <c r="K101" s="20">
        <v>2.89</v>
      </c>
      <c r="L101" s="17">
        <v>0.44500000000000001</v>
      </c>
      <c r="M101" s="17">
        <v>2</v>
      </c>
      <c r="N101" s="21">
        <v>276</v>
      </c>
      <c r="O101" s="17">
        <v>18</v>
      </c>
      <c r="P101" s="22">
        <v>7.4160000000000004</v>
      </c>
      <c r="Q101" s="23">
        <v>6.19</v>
      </c>
      <c r="R101" s="1">
        <v>33200</v>
      </c>
    </row>
    <row r="102" spans="1:18">
      <c r="A102" s="23">
        <v>9.42</v>
      </c>
      <c r="B102" s="17">
        <f t="shared" si="1"/>
        <v>27500</v>
      </c>
      <c r="C102" s="17">
        <v>27.5</v>
      </c>
      <c r="E102" s="23">
        <v>9.42</v>
      </c>
      <c r="F102" s="22">
        <v>6.7270000000000003</v>
      </c>
      <c r="G102" s="1">
        <v>27500</v>
      </c>
      <c r="I102" s="24">
        <v>6.3</v>
      </c>
      <c r="J102" s="19">
        <v>0.79900000000000004</v>
      </c>
      <c r="K102" s="20">
        <v>8.56</v>
      </c>
      <c r="L102" s="17">
        <v>0.52</v>
      </c>
      <c r="M102" s="17">
        <v>5</v>
      </c>
      <c r="N102" s="21">
        <v>384</v>
      </c>
      <c r="O102" s="17">
        <v>20.9</v>
      </c>
      <c r="P102" s="22">
        <v>6.7270000000000003</v>
      </c>
      <c r="Q102" s="23">
        <v>9.42</v>
      </c>
      <c r="R102" s="1">
        <v>27500</v>
      </c>
    </row>
    <row r="103" spans="1:18">
      <c r="A103" s="23">
        <v>7.67</v>
      </c>
      <c r="B103" s="17">
        <f t="shared" si="1"/>
        <v>26500</v>
      </c>
      <c r="C103" s="17">
        <v>26.5</v>
      </c>
      <c r="E103" s="23">
        <v>7.67</v>
      </c>
      <c r="F103" s="22">
        <v>6.7809999999999997</v>
      </c>
      <c r="G103" s="1">
        <v>26500</v>
      </c>
      <c r="I103" s="24">
        <v>7.71</v>
      </c>
      <c r="J103" s="19">
        <v>0.71299999999999997</v>
      </c>
      <c r="K103" s="20">
        <v>8.56</v>
      </c>
      <c r="L103" s="17">
        <v>0.52</v>
      </c>
      <c r="M103" s="17">
        <v>5</v>
      </c>
      <c r="N103" s="21">
        <v>384</v>
      </c>
      <c r="O103" s="17">
        <v>20.9</v>
      </c>
      <c r="P103" s="22">
        <v>6.7809999999999997</v>
      </c>
      <c r="Q103" s="23">
        <v>7.67</v>
      </c>
      <c r="R103" s="1">
        <v>26500</v>
      </c>
    </row>
    <row r="104" spans="1:18">
      <c r="A104" s="23">
        <v>10.63</v>
      </c>
      <c r="B104" s="17">
        <f t="shared" si="1"/>
        <v>18600</v>
      </c>
      <c r="C104" s="17">
        <v>18.600000000000001</v>
      </c>
      <c r="E104" s="23">
        <v>10.63</v>
      </c>
      <c r="F104" s="22">
        <v>6.4050000000000002</v>
      </c>
      <c r="G104" s="1">
        <v>18600</v>
      </c>
      <c r="I104" s="24">
        <v>8.93</v>
      </c>
      <c r="J104" s="19">
        <v>0.85400000000000009</v>
      </c>
      <c r="K104" s="20">
        <v>8.56</v>
      </c>
      <c r="L104" s="17">
        <v>0.52</v>
      </c>
      <c r="M104" s="17">
        <v>5</v>
      </c>
      <c r="N104" s="21">
        <v>384</v>
      </c>
      <c r="O104" s="17">
        <v>20.9</v>
      </c>
      <c r="P104" s="22">
        <v>6.4050000000000002</v>
      </c>
      <c r="Q104" s="23">
        <v>10.63</v>
      </c>
      <c r="R104" s="1">
        <v>18600</v>
      </c>
    </row>
    <row r="105" spans="1:18">
      <c r="A105" s="23">
        <v>13.44</v>
      </c>
      <c r="B105" s="17">
        <f t="shared" si="1"/>
        <v>19300</v>
      </c>
      <c r="C105" s="17">
        <v>19.3</v>
      </c>
      <c r="E105" s="23">
        <v>13.44</v>
      </c>
      <c r="F105" s="22">
        <v>6.1369999999999996</v>
      </c>
      <c r="G105" s="1">
        <v>19300</v>
      </c>
      <c r="I105" s="24">
        <v>9.7100000000000009</v>
      </c>
      <c r="J105" s="19">
        <v>0.87400000000000011</v>
      </c>
      <c r="K105" s="20">
        <v>8.56</v>
      </c>
      <c r="L105" s="17">
        <v>0.52</v>
      </c>
      <c r="M105" s="17">
        <v>5</v>
      </c>
      <c r="N105" s="21">
        <v>384</v>
      </c>
      <c r="O105" s="17">
        <v>20.9</v>
      </c>
      <c r="P105" s="22">
        <v>6.1369999999999996</v>
      </c>
      <c r="Q105" s="23">
        <v>13.44</v>
      </c>
      <c r="R105" s="1">
        <v>19300</v>
      </c>
    </row>
    <row r="106" spans="1:18">
      <c r="A106" s="23">
        <v>12.33</v>
      </c>
      <c r="B106" s="17">
        <f t="shared" si="1"/>
        <v>20100</v>
      </c>
      <c r="C106" s="17">
        <v>20.100000000000001</v>
      </c>
      <c r="E106" s="23">
        <v>12.33</v>
      </c>
      <c r="F106" s="22">
        <v>6.1669999999999998</v>
      </c>
      <c r="G106" s="1">
        <v>20100</v>
      </c>
      <c r="I106" s="24">
        <v>8.9</v>
      </c>
      <c r="J106" s="19">
        <v>0.9</v>
      </c>
      <c r="K106" s="20">
        <v>8.56</v>
      </c>
      <c r="L106" s="17">
        <v>0.52</v>
      </c>
      <c r="M106" s="17">
        <v>5</v>
      </c>
      <c r="N106" s="21">
        <v>384</v>
      </c>
      <c r="O106" s="17">
        <v>20.9</v>
      </c>
      <c r="P106" s="22">
        <v>6.1669999999999998</v>
      </c>
      <c r="Q106" s="23">
        <v>12.33</v>
      </c>
      <c r="R106" s="1">
        <v>20100</v>
      </c>
    </row>
    <row r="107" spans="1:18">
      <c r="A107" s="23">
        <v>16.47</v>
      </c>
      <c r="B107" s="17">
        <f t="shared" si="1"/>
        <v>19500</v>
      </c>
      <c r="C107" s="17">
        <v>19.5</v>
      </c>
      <c r="E107" s="23">
        <v>16.47</v>
      </c>
      <c r="F107" s="22">
        <v>5.851</v>
      </c>
      <c r="G107" s="1">
        <v>19500</v>
      </c>
      <c r="I107" s="24">
        <v>3.77</v>
      </c>
      <c r="J107" s="19">
        <v>0.96700000000000008</v>
      </c>
      <c r="K107" s="20">
        <v>8.56</v>
      </c>
      <c r="L107" s="17">
        <v>0.52</v>
      </c>
      <c r="M107" s="17">
        <v>5</v>
      </c>
      <c r="N107" s="21">
        <v>384</v>
      </c>
      <c r="O107" s="17">
        <v>20.9</v>
      </c>
      <c r="P107" s="22">
        <v>5.851</v>
      </c>
      <c r="Q107" s="23">
        <v>16.47</v>
      </c>
      <c r="R107" s="1">
        <v>19500</v>
      </c>
    </row>
    <row r="108" spans="1:18">
      <c r="A108" s="23">
        <v>18.66</v>
      </c>
      <c r="B108" s="17">
        <f t="shared" si="1"/>
        <v>19500</v>
      </c>
      <c r="C108" s="17">
        <v>19.5</v>
      </c>
      <c r="E108" s="23">
        <v>18.66</v>
      </c>
      <c r="F108" s="22">
        <v>5.8360000000000003</v>
      </c>
      <c r="G108" s="1">
        <v>19500</v>
      </c>
      <c r="I108" s="24">
        <v>3.63</v>
      </c>
      <c r="J108" s="19">
        <v>0.91900000000000004</v>
      </c>
      <c r="K108" s="20">
        <v>8.56</v>
      </c>
      <c r="L108" s="17">
        <v>0.52</v>
      </c>
      <c r="M108" s="17">
        <v>5</v>
      </c>
      <c r="N108" s="21">
        <v>384</v>
      </c>
      <c r="O108" s="17">
        <v>20.9</v>
      </c>
      <c r="P108" s="22">
        <v>5.8360000000000003</v>
      </c>
      <c r="Q108" s="23">
        <v>18.66</v>
      </c>
      <c r="R108" s="1">
        <v>19500</v>
      </c>
    </row>
    <row r="109" spans="1:18">
      <c r="A109" s="23">
        <v>14.09</v>
      </c>
      <c r="B109" s="17">
        <f t="shared" si="1"/>
        <v>20400</v>
      </c>
      <c r="C109" s="17">
        <v>20.399999999999999</v>
      </c>
      <c r="E109" s="23">
        <v>14.09</v>
      </c>
      <c r="F109" s="22">
        <v>6.1269999999999998</v>
      </c>
      <c r="G109" s="1">
        <v>20400</v>
      </c>
      <c r="I109" s="24">
        <v>0.14000000000000001</v>
      </c>
      <c r="J109" s="19">
        <v>0.85200000000000009</v>
      </c>
      <c r="K109" s="20">
        <v>8.56</v>
      </c>
      <c r="L109" s="17">
        <v>0.52</v>
      </c>
      <c r="M109" s="17">
        <v>5</v>
      </c>
      <c r="N109" s="21">
        <v>384</v>
      </c>
      <c r="O109" s="17">
        <v>20.9</v>
      </c>
      <c r="P109" s="22">
        <v>6.1269999999999998</v>
      </c>
      <c r="Q109" s="23">
        <v>14.09</v>
      </c>
      <c r="R109" s="1">
        <v>20400</v>
      </c>
    </row>
    <row r="110" spans="1:18">
      <c r="A110" s="23">
        <v>12.27</v>
      </c>
      <c r="B110" s="17">
        <f t="shared" si="1"/>
        <v>19800</v>
      </c>
      <c r="C110" s="17">
        <v>19.8</v>
      </c>
      <c r="E110" s="23">
        <v>12.27</v>
      </c>
      <c r="F110" s="22">
        <v>6.4740000000000002</v>
      </c>
      <c r="G110" s="1">
        <v>19800</v>
      </c>
      <c r="I110" s="24">
        <v>6.65</v>
      </c>
      <c r="J110" s="19">
        <v>0.97099999999999997</v>
      </c>
      <c r="K110" s="20">
        <v>8.56</v>
      </c>
      <c r="L110" s="17">
        <v>0.52</v>
      </c>
      <c r="M110" s="17">
        <v>5</v>
      </c>
      <c r="N110" s="21">
        <v>384</v>
      </c>
      <c r="O110" s="17">
        <v>20.9</v>
      </c>
      <c r="P110" s="22">
        <v>6.4740000000000002</v>
      </c>
      <c r="Q110" s="23">
        <v>12.27</v>
      </c>
      <c r="R110" s="1">
        <v>19800</v>
      </c>
    </row>
    <row r="111" spans="1:18">
      <c r="A111" s="23">
        <v>15.55</v>
      </c>
      <c r="B111" s="17">
        <f t="shared" si="1"/>
        <v>19400</v>
      </c>
      <c r="C111" s="17">
        <v>19.399999999999999</v>
      </c>
      <c r="E111" s="23">
        <v>15.55</v>
      </c>
      <c r="F111" s="22">
        <v>6.2290000000000001</v>
      </c>
      <c r="G111" s="1">
        <v>19400</v>
      </c>
      <c r="I111" s="24">
        <v>3.29</v>
      </c>
      <c r="J111" s="19">
        <v>0.91200000000000003</v>
      </c>
      <c r="K111" s="20">
        <v>8.56</v>
      </c>
      <c r="L111" s="17">
        <v>0.52</v>
      </c>
      <c r="M111" s="17">
        <v>5</v>
      </c>
      <c r="N111" s="21">
        <v>384</v>
      </c>
      <c r="O111" s="17">
        <v>20.9</v>
      </c>
      <c r="P111" s="22">
        <v>6.2290000000000001</v>
      </c>
      <c r="Q111" s="23">
        <v>15.55</v>
      </c>
      <c r="R111" s="1">
        <v>19400</v>
      </c>
    </row>
    <row r="112" spans="1:18">
      <c r="A112" s="23">
        <v>13</v>
      </c>
      <c r="B112" s="17">
        <f t="shared" si="1"/>
        <v>21700</v>
      </c>
      <c r="C112" s="17">
        <v>21.7</v>
      </c>
      <c r="E112" s="23">
        <v>13</v>
      </c>
      <c r="F112" s="22">
        <v>6.1950000000000003</v>
      </c>
      <c r="G112" s="1">
        <v>21700</v>
      </c>
      <c r="I112" s="24">
        <v>5.25</v>
      </c>
      <c r="J112" s="19">
        <v>0.54400000000000004</v>
      </c>
      <c r="K112" s="20">
        <v>8.56</v>
      </c>
      <c r="L112" s="17">
        <v>0.52</v>
      </c>
      <c r="M112" s="17">
        <v>5</v>
      </c>
      <c r="N112" s="21">
        <v>384</v>
      </c>
      <c r="O112" s="17">
        <v>20.9</v>
      </c>
      <c r="P112" s="22">
        <v>6.1950000000000003</v>
      </c>
      <c r="Q112" s="23">
        <v>13</v>
      </c>
      <c r="R112" s="1">
        <v>21700</v>
      </c>
    </row>
    <row r="113" spans="1:18">
      <c r="A113" s="23">
        <v>10.16</v>
      </c>
      <c r="B113" s="17">
        <f t="shared" si="1"/>
        <v>22800</v>
      </c>
      <c r="C113" s="17">
        <v>22.8</v>
      </c>
      <c r="E113" s="23">
        <v>10.16</v>
      </c>
      <c r="F113" s="22">
        <v>6.7149999999999999</v>
      </c>
      <c r="G113" s="1">
        <v>22800</v>
      </c>
      <c r="I113" s="24">
        <v>9.17</v>
      </c>
      <c r="J113" s="19">
        <v>0.81599999999999995</v>
      </c>
      <c r="K113" s="20">
        <v>10.01</v>
      </c>
      <c r="L113" s="17">
        <v>0.54700000000000004</v>
      </c>
      <c r="M113" s="17">
        <v>6</v>
      </c>
      <c r="N113" s="21">
        <v>432</v>
      </c>
      <c r="O113" s="17">
        <v>17.8</v>
      </c>
      <c r="P113" s="22">
        <v>6.7149999999999999</v>
      </c>
      <c r="Q113" s="23">
        <v>10.16</v>
      </c>
      <c r="R113" s="1">
        <v>22800</v>
      </c>
    </row>
    <row r="114" spans="1:18">
      <c r="A114" s="23">
        <v>16.21</v>
      </c>
      <c r="B114" s="17">
        <f t="shared" si="1"/>
        <v>18800</v>
      </c>
      <c r="C114" s="17">
        <v>18.8</v>
      </c>
      <c r="E114" s="23">
        <v>16.21</v>
      </c>
      <c r="F114" s="22">
        <v>5.9130000000000003</v>
      </c>
      <c r="G114" s="1">
        <v>18800</v>
      </c>
      <c r="I114" s="24">
        <v>8.48</v>
      </c>
      <c r="J114" s="19">
        <v>0.92900000000000005</v>
      </c>
      <c r="K114" s="20">
        <v>10.01</v>
      </c>
      <c r="L114" s="17">
        <v>0.54700000000000004</v>
      </c>
      <c r="M114" s="17">
        <v>6</v>
      </c>
      <c r="N114" s="21">
        <v>432</v>
      </c>
      <c r="O114" s="17">
        <v>17.8</v>
      </c>
      <c r="P114" s="22">
        <v>5.9130000000000003</v>
      </c>
      <c r="Q114" s="23">
        <v>16.21</v>
      </c>
      <c r="R114" s="1">
        <v>18800</v>
      </c>
    </row>
    <row r="115" spans="1:18">
      <c r="A115" s="23">
        <v>17.09</v>
      </c>
      <c r="B115" s="17">
        <f t="shared" si="1"/>
        <v>18700</v>
      </c>
      <c r="C115" s="17">
        <v>18.7</v>
      </c>
      <c r="E115" s="23">
        <v>17.09</v>
      </c>
      <c r="F115" s="22">
        <v>6.0919999999999996</v>
      </c>
      <c r="G115" s="1">
        <v>18700</v>
      </c>
      <c r="I115" s="24">
        <v>9.08</v>
      </c>
      <c r="J115" s="19">
        <v>0.95400000000000007</v>
      </c>
      <c r="K115" s="20">
        <v>10.01</v>
      </c>
      <c r="L115" s="17">
        <v>0.54700000000000004</v>
      </c>
      <c r="M115" s="17">
        <v>6</v>
      </c>
      <c r="N115" s="21">
        <v>432</v>
      </c>
      <c r="O115" s="17">
        <v>17.8</v>
      </c>
      <c r="P115" s="22">
        <v>6.0919999999999996</v>
      </c>
      <c r="Q115" s="23">
        <v>17.09</v>
      </c>
      <c r="R115" s="1">
        <v>18700</v>
      </c>
    </row>
    <row r="116" spans="1:18">
      <c r="A116" s="23">
        <v>10.45</v>
      </c>
      <c r="B116" s="17">
        <f t="shared" si="1"/>
        <v>18500</v>
      </c>
      <c r="C116" s="17">
        <v>18.5</v>
      </c>
      <c r="E116" s="23">
        <v>10.45</v>
      </c>
      <c r="F116" s="22">
        <v>6.2539999999999996</v>
      </c>
      <c r="G116" s="1">
        <v>18500</v>
      </c>
      <c r="I116" s="24">
        <v>2.0099999999999998</v>
      </c>
      <c r="J116" s="19">
        <v>0.84200000000000008</v>
      </c>
      <c r="K116" s="20">
        <v>10.01</v>
      </c>
      <c r="L116" s="17">
        <v>0.54700000000000004</v>
      </c>
      <c r="M116" s="17">
        <v>6</v>
      </c>
      <c r="N116" s="21">
        <v>432</v>
      </c>
      <c r="O116" s="17">
        <v>17.8</v>
      </c>
      <c r="P116" s="22">
        <v>6.2539999999999996</v>
      </c>
      <c r="Q116" s="23">
        <v>10.45</v>
      </c>
      <c r="R116" s="1">
        <v>18500</v>
      </c>
    </row>
    <row r="117" spans="1:18">
      <c r="A117" s="23">
        <v>15.76</v>
      </c>
      <c r="B117" s="17">
        <f t="shared" si="1"/>
        <v>18300</v>
      </c>
      <c r="C117" s="17">
        <v>18.3</v>
      </c>
      <c r="E117" s="23">
        <v>15.76</v>
      </c>
      <c r="F117" s="22">
        <v>5.9279999999999999</v>
      </c>
      <c r="G117" s="1">
        <v>18300</v>
      </c>
      <c r="I117" s="24">
        <v>4.57</v>
      </c>
      <c r="J117" s="19">
        <v>0.88200000000000001</v>
      </c>
      <c r="K117" s="20">
        <v>10.01</v>
      </c>
      <c r="L117" s="17">
        <v>0.54700000000000004</v>
      </c>
      <c r="M117" s="17">
        <v>6</v>
      </c>
      <c r="N117" s="21">
        <v>432</v>
      </c>
      <c r="O117" s="17">
        <v>17.8</v>
      </c>
      <c r="P117" s="22">
        <v>5.9279999999999999</v>
      </c>
      <c r="Q117" s="23">
        <v>15.76</v>
      </c>
      <c r="R117" s="1">
        <v>18300</v>
      </c>
    </row>
    <row r="118" spans="1:18">
      <c r="A118" s="23">
        <v>12.04</v>
      </c>
      <c r="B118" s="17">
        <f t="shared" si="1"/>
        <v>21200</v>
      </c>
      <c r="C118" s="17">
        <v>21.2</v>
      </c>
      <c r="E118" s="23">
        <v>12.04</v>
      </c>
      <c r="F118" s="22">
        <v>6.1760000000000002</v>
      </c>
      <c r="G118" s="1">
        <v>21200</v>
      </c>
      <c r="I118" s="24">
        <v>3.48</v>
      </c>
      <c r="J118" s="19">
        <v>0.72499999999999998</v>
      </c>
      <c r="K118" s="20">
        <v>10.01</v>
      </c>
      <c r="L118" s="17">
        <v>0.54700000000000004</v>
      </c>
      <c r="M118" s="17">
        <v>6</v>
      </c>
      <c r="N118" s="21">
        <v>432</v>
      </c>
      <c r="O118" s="17">
        <v>17.8</v>
      </c>
      <c r="P118" s="22">
        <v>6.1760000000000002</v>
      </c>
      <c r="Q118" s="23">
        <v>12.04</v>
      </c>
      <c r="R118" s="1">
        <v>21200</v>
      </c>
    </row>
    <row r="119" spans="1:18">
      <c r="A119" s="23">
        <v>10.3</v>
      </c>
      <c r="B119" s="17">
        <f t="shared" si="1"/>
        <v>19200</v>
      </c>
      <c r="C119" s="17">
        <v>19.2</v>
      </c>
      <c r="E119" s="23">
        <v>10.3</v>
      </c>
      <c r="F119" s="22">
        <v>6.0209999999999999</v>
      </c>
      <c r="G119" s="1">
        <v>19200</v>
      </c>
      <c r="I119" s="24">
        <v>2.21</v>
      </c>
      <c r="J119" s="19">
        <v>0.82599999999999996</v>
      </c>
      <c r="K119" s="20">
        <v>10.01</v>
      </c>
      <c r="L119" s="17">
        <v>0.54700000000000004</v>
      </c>
      <c r="M119" s="17">
        <v>6</v>
      </c>
      <c r="N119" s="21">
        <v>432</v>
      </c>
      <c r="O119" s="17">
        <v>17.8</v>
      </c>
      <c r="P119" s="22">
        <v>6.0209999999999999</v>
      </c>
      <c r="Q119" s="23">
        <v>10.3</v>
      </c>
      <c r="R119" s="1">
        <v>19200</v>
      </c>
    </row>
    <row r="120" spans="1:18">
      <c r="A120" s="23">
        <v>15.37</v>
      </c>
      <c r="B120" s="17">
        <f t="shared" si="1"/>
        <v>20400</v>
      </c>
      <c r="C120" s="17">
        <v>20.399999999999999</v>
      </c>
      <c r="E120" s="23">
        <v>15.37</v>
      </c>
      <c r="F120" s="22">
        <v>5.8719999999999999</v>
      </c>
      <c r="G120" s="1">
        <v>20400</v>
      </c>
      <c r="I120" s="24">
        <v>7.21</v>
      </c>
      <c r="J120" s="19">
        <v>0.73099999999999998</v>
      </c>
      <c r="K120" s="20">
        <v>10.01</v>
      </c>
      <c r="L120" s="17">
        <v>0.54700000000000004</v>
      </c>
      <c r="M120" s="17">
        <v>6</v>
      </c>
      <c r="N120" s="21">
        <v>432</v>
      </c>
      <c r="O120" s="17">
        <v>17.8</v>
      </c>
      <c r="P120" s="22">
        <v>5.8719999999999999</v>
      </c>
      <c r="Q120" s="23">
        <v>15.37</v>
      </c>
      <c r="R120" s="1">
        <v>20400</v>
      </c>
    </row>
    <row r="121" spans="1:18">
      <c r="A121" s="23">
        <v>13.61</v>
      </c>
      <c r="B121" s="17">
        <f t="shared" si="1"/>
        <v>19300</v>
      </c>
      <c r="C121" s="17">
        <v>19.3</v>
      </c>
      <c r="E121" s="23">
        <v>13.61</v>
      </c>
      <c r="F121" s="22">
        <v>5.7309999999999999</v>
      </c>
      <c r="G121" s="1">
        <v>19300</v>
      </c>
      <c r="I121" s="24">
        <v>2.52</v>
      </c>
      <c r="J121" s="19">
        <v>0.65200000000000002</v>
      </c>
      <c r="K121" s="20">
        <v>10.01</v>
      </c>
      <c r="L121" s="17">
        <v>0.54700000000000004</v>
      </c>
      <c r="M121" s="17">
        <v>6</v>
      </c>
      <c r="N121" s="21">
        <v>432</v>
      </c>
      <c r="O121" s="17">
        <v>17.8</v>
      </c>
      <c r="P121" s="22">
        <v>5.7309999999999999</v>
      </c>
      <c r="Q121" s="23">
        <v>13.61</v>
      </c>
      <c r="R121" s="1">
        <v>19300</v>
      </c>
    </row>
    <row r="122" spans="1:18">
      <c r="A122" s="23">
        <v>14.37</v>
      </c>
      <c r="B122" s="17">
        <f t="shared" si="1"/>
        <v>22000</v>
      </c>
      <c r="C122" s="17">
        <v>22</v>
      </c>
      <c r="E122" s="23">
        <v>14.37</v>
      </c>
      <c r="F122" s="22">
        <v>5.87</v>
      </c>
      <c r="G122" s="1">
        <v>22000</v>
      </c>
      <c r="I122" s="24">
        <v>1.42</v>
      </c>
      <c r="J122" s="19">
        <v>0.69700000000000006</v>
      </c>
      <c r="K122" s="20">
        <v>25.65</v>
      </c>
      <c r="L122" s="17">
        <v>0.58099999999999996</v>
      </c>
      <c r="M122" s="17">
        <v>2</v>
      </c>
      <c r="N122" s="21">
        <v>188</v>
      </c>
      <c r="O122" s="17">
        <v>19.100000000000001</v>
      </c>
      <c r="P122" s="22">
        <v>5.87</v>
      </c>
      <c r="Q122" s="23">
        <v>14.37</v>
      </c>
      <c r="R122" s="1">
        <v>22000</v>
      </c>
    </row>
    <row r="123" spans="1:18">
      <c r="A123" s="23">
        <v>14.27</v>
      </c>
      <c r="B123" s="17">
        <f t="shared" si="1"/>
        <v>20300</v>
      </c>
      <c r="C123" s="17">
        <v>20.3</v>
      </c>
      <c r="E123" s="23">
        <v>14.27</v>
      </c>
      <c r="F123" s="22">
        <v>6.0039999999999996</v>
      </c>
      <c r="G123" s="1">
        <v>20300</v>
      </c>
      <c r="I123" s="24">
        <v>8.1</v>
      </c>
      <c r="J123" s="19">
        <v>0.84099999999999997</v>
      </c>
      <c r="K123" s="20">
        <v>25.65</v>
      </c>
      <c r="L123" s="17">
        <v>0.58099999999999996</v>
      </c>
      <c r="M123" s="17">
        <v>2</v>
      </c>
      <c r="N123" s="21">
        <v>188</v>
      </c>
      <c r="O123" s="17">
        <v>19.100000000000001</v>
      </c>
      <c r="P123" s="22">
        <v>6.0039999999999996</v>
      </c>
      <c r="Q123" s="23">
        <v>14.27</v>
      </c>
      <c r="R123" s="1">
        <v>20300</v>
      </c>
    </row>
    <row r="124" spans="1:18">
      <c r="A124" s="23">
        <v>17.93</v>
      </c>
      <c r="B124" s="17">
        <f t="shared" si="1"/>
        <v>20500</v>
      </c>
      <c r="C124" s="17">
        <v>20.5</v>
      </c>
      <c r="E124" s="23">
        <v>17.93</v>
      </c>
      <c r="F124" s="22">
        <v>5.9610000000000003</v>
      </c>
      <c r="G124" s="1">
        <v>20500</v>
      </c>
      <c r="I124" s="24">
        <v>8.09</v>
      </c>
      <c r="J124" s="19">
        <v>0.92900000000000005</v>
      </c>
      <c r="K124" s="20">
        <v>25.65</v>
      </c>
      <c r="L124" s="17">
        <v>0.58099999999999996</v>
      </c>
      <c r="M124" s="17">
        <v>2</v>
      </c>
      <c r="N124" s="21">
        <v>188</v>
      </c>
      <c r="O124" s="17">
        <v>19.100000000000001</v>
      </c>
      <c r="P124" s="22">
        <v>5.9610000000000003</v>
      </c>
      <c r="Q124" s="23">
        <v>17.93</v>
      </c>
      <c r="R124" s="1">
        <v>20500</v>
      </c>
    </row>
    <row r="125" spans="1:18">
      <c r="A125" s="23">
        <v>25.41</v>
      </c>
      <c r="B125" s="17">
        <f t="shared" si="1"/>
        <v>17300</v>
      </c>
      <c r="C125" s="17">
        <v>17.3</v>
      </c>
      <c r="E125" s="23">
        <v>25.41</v>
      </c>
      <c r="F125" s="22">
        <v>5.8559999999999999</v>
      </c>
      <c r="G125" s="1">
        <v>17300</v>
      </c>
      <c r="I125" s="24">
        <v>0.6</v>
      </c>
      <c r="J125" s="19">
        <v>0.97</v>
      </c>
      <c r="K125" s="20">
        <v>25.65</v>
      </c>
      <c r="L125" s="17">
        <v>0.58099999999999996</v>
      </c>
      <c r="M125" s="17">
        <v>2</v>
      </c>
      <c r="N125" s="21">
        <v>188</v>
      </c>
      <c r="O125" s="17">
        <v>19.100000000000001</v>
      </c>
      <c r="P125" s="22">
        <v>5.8559999999999999</v>
      </c>
      <c r="Q125" s="23">
        <v>25.41</v>
      </c>
      <c r="R125" s="1">
        <v>17300</v>
      </c>
    </row>
    <row r="126" spans="1:18">
      <c r="A126" s="23">
        <v>17.579999999999998</v>
      </c>
      <c r="B126" s="17">
        <f t="shared" si="1"/>
        <v>18800</v>
      </c>
      <c r="C126" s="17">
        <v>18.8</v>
      </c>
      <c r="E126" s="23">
        <v>17.579999999999998</v>
      </c>
      <c r="F126" s="22">
        <v>5.8789999999999996</v>
      </c>
      <c r="G126" s="1">
        <v>18800</v>
      </c>
      <c r="I126" s="24">
        <v>2.88</v>
      </c>
      <c r="J126" s="19">
        <v>0.95799999999999996</v>
      </c>
      <c r="K126" s="20">
        <v>25.65</v>
      </c>
      <c r="L126" s="17">
        <v>0.58099999999999996</v>
      </c>
      <c r="M126" s="17">
        <v>2</v>
      </c>
      <c r="N126" s="21">
        <v>188</v>
      </c>
      <c r="O126" s="17">
        <v>19.100000000000001</v>
      </c>
      <c r="P126" s="22">
        <v>5.8789999999999996</v>
      </c>
      <c r="Q126" s="23">
        <v>17.579999999999998</v>
      </c>
      <c r="R126" s="1">
        <v>18800</v>
      </c>
    </row>
    <row r="127" spans="1:18">
      <c r="A127" s="23">
        <v>14.81</v>
      </c>
      <c r="B127" s="17">
        <f t="shared" si="1"/>
        <v>21400</v>
      </c>
      <c r="C127" s="17">
        <v>21.4</v>
      </c>
      <c r="E127" s="23">
        <v>14.81</v>
      </c>
      <c r="F127" s="22">
        <v>5.9859999999999998</v>
      </c>
      <c r="G127" s="1">
        <v>21400</v>
      </c>
      <c r="I127" s="24">
        <v>7.01</v>
      </c>
      <c r="J127" s="19">
        <v>0.88400000000000012</v>
      </c>
      <c r="K127" s="20">
        <v>25.65</v>
      </c>
      <c r="L127" s="17">
        <v>0.58099999999999996</v>
      </c>
      <c r="M127" s="17">
        <v>2</v>
      </c>
      <c r="N127" s="21">
        <v>188</v>
      </c>
      <c r="O127" s="17">
        <v>19.100000000000001</v>
      </c>
      <c r="P127" s="22">
        <v>5.9859999999999998</v>
      </c>
      <c r="Q127" s="23">
        <v>14.81</v>
      </c>
      <c r="R127" s="1">
        <v>21400</v>
      </c>
    </row>
    <row r="128" spans="1:18">
      <c r="A128" s="23">
        <v>27.26</v>
      </c>
      <c r="B128" s="17">
        <f t="shared" si="1"/>
        <v>15700</v>
      </c>
      <c r="C128" s="17">
        <v>15.7</v>
      </c>
      <c r="E128" s="23">
        <v>27.26</v>
      </c>
      <c r="F128" s="22">
        <v>5.6130000000000004</v>
      </c>
      <c r="G128" s="1">
        <v>15700</v>
      </c>
      <c r="I128" s="24">
        <v>3.79</v>
      </c>
      <c r="J128" s="19">
        <v>0.95599999999999996</v>
      </c>
      <c r="K128" s="20">
        <v>25.65</v>
      </c>
      <c r="L128" s="17">
        <v>0.58099999999999996</v>
      </c>
      <c r="M128" s="17">
        <v>2</v>
      </c>
      <c r="N128" s="21">
        <v>188</v>
      </c>
      <c r="O128" s="17">
        <v>19.100000000000001</v>
      </c>
      <c r="P128" s="22">
        <v>5.6130000000000004</v>
      </c>
      <c r="Q128" s="23">
        <v>27.26</v>
      </c>
      <c r="R128" s="1">
        <v>15700</v>
      </c>
    </row>
    <row r="129" spans="1:18">
      <c r="A129" s="23">
        <v>17.190000000000001</v>
      </c>
      <c r="B129" s="17">
        <f t="shared" si="1"/>
        <v>16200</v>
      </c>
      <c r="C129" s="17">
        <v>16.2</v>
      </c>
      <c r="E129" s="23">
        <v>17.190000000000001</v>
      </c>
      <c r="F129" s="22">
        <v>5.6929999999999996</v>
      </c>
      <c r="G129" s="1">
        <v>16200</v>
      </c>
      <c r="I129" s="24">
        <v>7.15</v>
      </c>
      <c r="J129" s="19">
        <v>0.96</v>
      </c>
      <c r="K129" s="20">
        <v>21.89</v>
      </c>
      <c r="L129" s="17">
        <v>0.624</v>
      </c>
      <c r="M129" s="17">
        <v>4</v>
      </c>
      <c r="N129" s="21">
        <v>437</v>
      </c>
      <c r="O129" s="17">
        <v>21.2</v>
      </c>
      <c r="P129" s="22">
        <v>5.6929999999999996</v>
      </c>
      <c r="Q129" s="23">
        <v>17.190000000000001</v>
      </c>
      <c r="R129" s="1">
        <v>16200</v>
      </c>
    </row>
    <row r="130" spans="1:18">
      <c r="A130" s="23">
        <v>15.39</v>
      </c>
      <c r="B130" s="17">
        <f t="shared" si="1"/>
        <v>18000</v>
      </c>
      <c r="C130" s="17">
        <v>18</v>
      </c>
      <c r="E130" s="23">
        <v>15.39</v>
      </c>
      <c r="F130" s="22">
        <v>6.431</v>
      </c>
      <c r="G130" s="1">
        <v>18000</v>
      </c>
      <c r="I130" s="24">
        <v>3.79</v>
      </c>
      <c r="J130" s="19">
        <v>0.98799999999999999</v>
      </c>
      <c r="K130" s="20">
        <v>21.89</v>
      </c>
      <c r="L130" s="17">
        <v>0.624</v>
      </c>
      <c r="M130" s="17">
        <v>4</v>
      </c>
      <c r="N130" s="21">
        <v>437</v>
      </c>
      <c r="O130" s="17">
        <v>21.2</v>
      </c>
      <c r="P130" s="22">
        <v>6.431</v>
      </c>
      <c r="Q130" s="23">
        <v>15.39</v>
      </c>
      <c r="R130" s="1">
        <v>18000</v>
      </c>
    </row>
    <row r="131" spans="1:18">
      <c r="A131" s="23">
        <v>18.34</v>
      </c>
      <c r="B131" s="17">
        <f t="shared" ref="B131:B194" si="2">C131*1000</f>
        <v>14300</v>
      </c>
      <c r="C131" s="17">
        <v>14.3</v>
      </c>
      <c r="E131" s="23">
        <v>18.34</v>
      </c>
      <c r="F131" s="22">
        <v>5.6369999999999996</v>
      </c>
      <c r="G131" s="1">
        <v>14300</v>
      </c>
      <c r="I131" s="24">
        <v>2.65</v>
      </c>
      <c r="J131" s="19">
        <v>0.94700000000000006</v>
      </c>
      <c r="K131" s="20">
        <v>21.89</v>
      </c>
      <c r="L131" s="17">
        <v>0.624</v>
      </c>
      <c r="M131" s="17">
        <v>4</v>
      </c>
      <c r="N131" s="21">
        <v>437</v>
      </c>
      <c r="O131" s="17">
        <v>21.2</v>
      </c>
      <c r="P131" s="22">
        <v>5.6369999999999996</v>
      </c>
      <c r="Q131" s="23">
        <v>18.34</v>
      </c>
      <c r="R131" s="1">
        <v>14300</v>
      </c>
    </row>
    <row r="132" spans="1:18">
      <c r="A132" s="23">
        <v>12.6</v>
      </c>
      <c r="B132" s="17">
        <f t="shared" si="2"/>
        <v>19200</v>
      </c>
      <c r="C132" s="17">
        <v>19.2</v>
      </c>
      <c r="E132" s="23">
        <v>12.6</v>
      </c>
      <c r="F132" s="22">
        <v>6.4580000000000002</v>
      </c>
      <c r="G132" s="1">
        <v>19200</v>
      </c>
      <c r="I132" s="24">
        <v>6.03</v>
      </c>
      <c r="J132" s="19">
        <v>0.9890000000000001</v>
      </c>
      <c r="K132" s="20">
        <v>21.89</v>
      </c>
      <c r="L132" s="17">
        <v>0.624</v>
      </c>
      <c r="M132" s="17">
        <v>4</v>
      </c>
      <c r="N132" s="21">
        <v>437</v>
      </c>
      <c r="O132" s="17">
        <v>21.2</v>
      </c>
      <c r="P132" s="22">
        <v>6.4580000000000002</v>
      </c>
      <c r="Q132" s="23">
        <v>12.6</v>
      </c>
      <c r="R132" s="1">
        <v>19200</v>
      </c>
    </row>
    <row r="133" spans="1:18">
      <c r="A133" s="23">
        <v>12.26</v>
      </c>
      <c r="B133" s="17">
        <f t="shared" si="2"/>
        <v>19600</v>
      </c>
      <c r="C133" s="17">
        <v>19.600000000000001</v>
      </c>
      <c r="E133" s="23">
        <v>12.26</v>
      </c>
      <c r="F133" s="22">
        <v>6.3259999999999996</v>
      </c>
      <c r="G133" s="1">
        <v>19600</v>
      </c>
      <c r="I133" s="24">
        <v>4.3899999999999997</v>
      </c>
      <c r="J133" s="19">
        <v>0.97700000000000009</v>
      </c>
      <c r="K133" s="20">
        <v>21.89</v>
      </c>
      <c r="L133" s="17">
        <v>0.624</v>
      </c>
      <c r="M133" s="17">
        <v>4</v>
      </c>
      <c r="N133" s="21">
        <v>437</v>
      </c>
      <c r="O133" s="17">
        <v>21.2</v>
      </c>
      <c r="P133" s="22">
        <v>6.3259999999999996</v>
      </c>
      <c r="Q133" s="23">
        <v>12.26</v>
      </c>
      <c r="R133" s="1">
        <v>19600</v>
      </c>
    </row>
    <row r="134" spans="1:18">
      <c r="A134" s="23">
        <v>11.12</v>
      </c>
      <c r="B134" s="17">
        <f t="shared" si="2"/>
        <v>23000</v>
      </c>
      <c r="C134" s="17">
        <v>23</v>
      </c>
      <c r="E134" s="23">
        <v>11.12</v>
      </c>
      <c r="F134" s="22">
        <v>6.3719999999999999</v>
      </c>
      <c r="G134" s="1">
        <v>23000</v>
      </c>
      <c r="I134" s="24">
        <v>8.58</v>
      </c>
      <c r="J134" s="19">
        <v>0.97900000000000009</v>
      </c>
      <c r="K134" s="20">
        <v>21.89</v>
      </c>
      <c r="L134" s="17">
        <v>0.624</v>
      </c>
      <c r="M134" s="17">
        <v>4</v>
      </c>
      <c r="N134" s="21">
        <v>437</v>
      </c>
      <c r="O134" s="17">
        <v>21.2</v>
      </c>
      <c r="P134" s="22">
        <v>6.3719999999999999</v>
      </c>
      <c r="Q134" s="23">
        <v>11.12</v>
      </c>
      <c r="R134" s="1">
        <v>23000</v>
      </c>
    </row>
    <row r="135" spans="1:18">
      <c r="A135" s="23">
        <v>15.03</v>
      </c>
      <c r="B135" s="17">
        <f t="shared" si="2"/>
        <v>18400</v>
      </c>
      <c r="C135" s="17">
        <v>18.399999999999999</v>
      </c>
      <c r="E135" s="23">
        <v>15.03</v>
      </c>
      <c r="F135" s="22">
        <v>5.8220000000000001</v>
      </c>
      <c r="G135" s="1">
        <v>18400</v>
      </c>
      <c r="I135" s="24">
        <v>0.4</v>
      </c>
      <c r="J135" s="19">
        <v>0.95400000000000007</v>
      </c>
      <c r="K135" s="20">
        <v>21.89</v>
      </c>
      <c r="L135" s="17">
        <v>0.624</v>
      </c>
      <c r="M135" s="17">
        <v>4</v>
      </c>
      <c r="N135" s="21">
        <v>437</v>
      </c>
      <c r="O135" s="17">
        <v>21.2</v>
      </c>
      <c r="P135" s="22">
        <v>5.8220000000000001</v>
      </c>
      <c r="Q135" s="23">
        <v>15.03</v>
      </c>
      <c r="R135" s="1">
        <v>18400</v>
      </c>
    </row>
    <row r="136" spans="1:18">
      <c r="A136" s="23">
        <v>17.309999999999999</v>
      </c>
      <c r="B136" s="17">
        <f t="shared" si="2"/>
        <v>15600</v>
      </c>
      <c r="C136" s="17">
        <v>15.6</v>
      </c>
      <c r="E136" s="23">
        <v>17.309999999999999</v>
      </c>
      <c r="F136" s="22">
        <v>5.7569999999999997</v>
      </c>
      <c r="G136" s="1">
        <v>15600</v>
      </c>
      <c r="I136" s="24">
        <v>5.48</v>
      </c>
      <c r="J136" s="19">
        <v>0.9840000000000001</v>
      </c>
      <c r="K136" s="20">
        <v>21.89</v>
      </c>
      <c r="L136" s="17">
        <v>0.624</v>
      </c>
      <c r="M136" s="17">
        <v>4</v>
      </c>
      <c r="N136" s="21">
        <v>437</v>
      </c>
      <c r="O136" s="17">
        <v>21.2</v>
      </c>
      <c r="P136" s="22">
        <v>5.7569999999999997</v>
      </c>
      <c r="Q136" s="23">
        <v>17.309999999999999</v>
      </c>
      <c r="R136" s="1">
        <v>15600</v>
      </c>
    </row>
    <row r="137" spans="1:18">
      <c r="A137" s="23">
        <v>16.96</v>
      </c>
      <c r="B137" s="17">
        <f t="shared" si="2"/>
        <v>18100</v>
      </c>
      <c r="C137" s="17">
        <v>18.100000000000001</v>
      </c>
      <c r="E137" s="23">
        <v>16.96</v>
      </c>
      <c r="F137" s="22">
        <v>6.335</v>
      </c>
      <c r="G137" s="1">
        <v>18100</v>
      </c>
      <c r="I137" s="24">
        <v>0.66</v>
      </c>
      <c r="J137" s="19">
        <v>0.9820000000000001</v>
      </c>
      <c r="K137" s="20">
        <v>21.89</v>
      </c>
      <c r="L137" s="17">
        <v>0.624</v>
      </c>
      <c r="M137" s="17">
        <v>4</v>
      </c>
      <c r="N137" s="21">
        <v>437</v>
      </c>
      <c r="O137" s="17">
        <v>21.2</v>
      </c>
      <c r="P137" s="22">
        <v>6.335</v>
      </c>
      <c r="Q137" s="23">
        <v>16.96</v>
      </c>
      <c r="R137" s="1">
        <v>18100</v>
      </c>
    </row>
    <row r="138" spans="1:18">
      <c r="A138" s="23">
        <v>16.899999999999999</v>
      </c>
      <c r="B138" s="17">
        <f t="shared" si="2"/>
        <v>17400</v>
      </c>
      <c r="C138" s="17">
        <v>17.399999999999999</v>
      </c>
      <c r="E138" s="23">
        <v>16.899999999999999</v>
      </c>
      <c r="F138" s="22">
        <v>5.9420000000000002</v>
      </c>
      <c r="G138" s="1">
        <v>17400</v>
      </c>
      <c r="I138" s="24">
        <v>9.8699999999999992</v>
      </c>
      <c r="J138" s="19">
        <v>0.93500000000000005</v>
      </c>
      <c r="K138" s="20">
        <v>21.89</v>
      </c>
      <c r="L138" s="17">
        <v>0.624</v>
      </c>
      <c r="M138" s="17">
        <v>4</v>
      </c>
      <c r="N138" s="21">
        <v>437</v>
      </c>
      <c r="O138" s="17">
        <v>21.2</v>
      </c>
      <c r="P138" s="22">
        <v>5.9420000000000002</v>
      </c>
      <c r="Q138" s="23">
        <v>16.899999999999999</v>
      </c>
      <c r="R138" s="1">
        <v>17400</v>
      </c>
    </row>
    <row r="139" spans="1:18">
      <c r="A139" s="23">
        <v>14.59</v>
      </c>
      <c r="B139" s="17">
        <f t="shared" si="2"/>
        <v>17100</v>
      </c>
      <c r="C139" s="17">
        <v>17.100000000000001</v>
      </c>
      <c r="E139" s="23">
        <v>14.59</v>
      </c>
      <c r="F139" s="22">
        <v>6.4539999999999997</v>
      </c>
      <c r="G139" s="1">
        <v>17100</v>
      </c>
      <c r="I139" s="24">
        <v>5.05</v>
      </c>
      <c r="J139" s="19">
        <v>0.9840000000000001</v>
      </c>
      <c r="K139" s="20">
        <v>21.89</v>
      </c>
      <c r="L139" s="17">
        <v>0.624</v>
      </c>
      <c r="M139" s="17">
        <v>4</v>
      </c>
      <c r="N139" s="21">
        <v>437</v>
      </c>
      <c r="O139" s="17">
        <v>21.2</v>
      </c>
      <c r="P139" s="22">
        <v>6.4539999999999997</v>
      </c>
      <c r="Q139" s="23">
        <v>14.59</v>
      </c>
      <c r="R139" s="1">
        <v>17100</v>
      </c>
    </row>
    <row r="140" spans="1:18">
      <c r="A140" s="23">
        <v>21.32</v>
      </c>
      <c r="B140" s="17">
        <f t="shared" si="2"/>
        <v>13300</v>
      </c>
      <c r="C140" s="17">
        <v>13.3</v>
      </c>
      <c r="E140" s="23">
        <v>21.32</v>
      </c>
      <c r="F140" s="22">
        <v>5.8570000000000002</v>
      </c>
      <c r="G140" s="1">
        <v>13300</v>
      </c>
      <c r="I140" s="24">
        <v>0.91</v>
      </c>
      <c r="J140" s="19">
        <v>0.9820000000000001</v>
      </c>
      <c r="K140" s="20">
        <v>21.89</v>
      </c>
      <c r="L140" s="17">
        <v>0.624</v>
      </c>
      <c r="M140" s="17">
        <v>4</v>
      </c>
      <c r="N140" s="21">
        <v>437</v>
      </c>
      <c r="O140" s="17">
        <v>21.2</v>
      </c>
      <c r="P140" s="22">
        <v>5.8570000000000002</v>
      </c>
      <c r="Q140" s="23">
        <v>21.32</v>
      </c>
      <c r="R140" s="1">
        <v>13300</v>
      </c>
    </row>
    <row r="141" spans="1:18">
      <c r="A141" s="23">
        <v>18.46</v>
      </c>
      <c r="B141" s="17">
        <f t="shared" si="2"/>
        <v>17800</v>
      </c>
      <c r="C141" s="17">
        <v>17.8</v>
      </c>
      <c r="E141" s="23">
        <v>18.46</v>
      </c>
      <c r="F141" s="22">
        <v>6.1509999999999998</v>
      </c>
      <c r="G141" s="1">
        <v>17800</v>
      </c>
      <c r="I141" s="24">
        <v>2.92</v>
      </c>
      <c r="J141" s="19">
        <v>0.97900000000000009</v>
      </c>
      <c r="K141" s="20">
        <v>21.89</v>
      </c>
      <c r="L141" s="17">
        <v>0.624</v>
      </c>
      <c r="M141" s="17">
        <v>4</v>
      </c>
      <c r="N141" s="21">
        <v>437</v>
      </c>
      <c r="O141" s="17">
        <v>21.2</v>
      </c>
      <c r="P141" s="22">
        <v>6.1509999999999998</v>
      </c>
      <c r="Q141" s="23">
        <v>18.46</v>
      </c>
      <c r="R141" s="1">
        <v>17800</v>
      </c>
    </row>
    <row r="142" spans="1:18">
      <c r="A142" s="23">
        <v>24.16</v>
      </c>
      <c r="B142" s="17">
        <f t="shared" si="2"/>
        <v>14000</v>
      </c>
      <c r="C142" s="17">
        <v>14</v>
      </c>
      <c r="E142" s="23">
        <v>24.16</v>
      </c>
      <c r="F142" s="22">
        <v>6.1740000000000004</v>
      </c>
      <c r="G142" s="1">
        <v>14000</v>
      </c>
      <c r="I142" s="24">
        <v>8.82</v>
      </c>
      <c r="J142" s="19">
        <v>0.93599999999999994</v>
      </c>
      <c r="K142" s="20">
        <v>21.89</v>
      </c>
      <c r="L142" s="17">
        <v>0.624</v>
      </c>
      <c r="M142" s="17">
        <v>4</v>
      </c>
      <c r="N142" s="21">
        <v>437</v>
      </c>
      <c r="O142" s="17">
        <v>21.2</v>
      </c>
      <c r="P142" s="22">
        <v>6.1740000000000004</v>
      </c>
      <c r="Q142" s="23">
        <v>24.16</v>
      </c>
      <c r="R142" s="1">
        <v>14000</v>
      </c>
    </row>
    <row r="143" spans="1:18">
      <c r="A143" s="23">
        <v>34.409999999999997</v>
      </c>
      <c r="B143" s="17">
        <f t="shared" si="2"/>
        <v>14400</v>
      </c>
      <c r="C143" s="17">
        <v>14.4</v>
      </c>
      <c r="E143" s="23">
        <v>34.409999999999997</v>
      </c>
      <c r="F143" s="22">
        <v>5.0190000000000001</v>
      </c>
      <c r="G143" s="1">
        <v>14400</v>
      </c>
      <c r="I143" s="24">
        <v>3.92</v>
      </c>
      <c r="J143" s="19">
        <v>1</v>
      </c>
      <c r="K143" s="20">
        <v>21.89</v>
      </c>
      <c r="L143" s="17">
        <v>0.624</v>
      </c>
      <c r="M143" s="17">
        <v>4</v>
      </c>
      <c r="N143" s="21">
        <v>437</v>
      </c>
      <c r="O143" s="17">
        <v>21.2</v>
      </c>
      <c r="P143" s="22">
        <v>5.0190000000000001</v>
      </c>
      <c r="Q143" s="23">
        <v>34.409999999999997</v>
      </c>
      <c r="R143" s="1">
        <v>14400</v>
      </c>
    </row>
    <row r="144" spans="1:18">
      <c r="A144" s="23">
        <v>26.82</v>
      </c>
      <c r="B144" s="17">
        <f t="shared" si="2"/>
        <v>13400</v>
      </c>
      <c r="C144" s="17">
        <v>13.4</v>
      </c>
      <c r="E144" s="23">
        <v>26.82</v>
      </c>
      <c r="F144" s="22">
        <v>5.4029999999999996</v>
      </c>
      <c r="G144" s="1">
        <v>13400</v>
      </c>
      <c r="I144" s="24">
        <v>3.83</v>
      </c>
      <c r="J144" s="19">
        <v>1</v>
      </c>
      <c r="K144" s="20">
        <v>19.579999999999998</v>
      </c>
      <c r="L144" s="17">
        <v>0.871</v>
      </c>
      <c r="M144" s="17">
        <v>5</v>
      </c>
      <c r="N144" s="21">
        <v>403</v>
      </c>
      <c r="O144" s="17">
        <v>14.7</v>
      </c>
      <c r="P144" s="22">
        <v>5.4029999999999996</v>
      </c>
      <c r="Q144" s="23">
        <v>26.82</v>
      </c>
      <c r="R144" s="1">
        <v>13400</v>
      </c>
    </row>
    <row r="145" spans="1:18">
      <c r="A145" s="23">
        <v>26.42</v>
      </c>
      <c r="B145" s="17">
        <f t="shared" si="2"/>
        <v>15600</v>
      </c>
      <c r="C145" s="17">
        <v>15.6</v>
      </c>
      <c r="E145" s="23">
        <v>26.42</v>
      </c>
      <c r="F145" s="22">
        <v>5.468</v>
      </c>
      <c r="G145" s="1">
        <v>15600</v>
      </c>
      <c r="I145" s="24">
        <v>0.68</v>
      </c>
      <c r="J145" s="19">
        <v>1</v>
      </c>
      <c r="K145" s="20">
        <v>19.579999999999998</v>
      </c>
      <c r="L145" s="17">
        <v>0.871</v>
      </c>
      <c r="M145" s="17">
        <v>5</v>
      </c>
      <c r="N145" s="21">
        <v>403</v>
      </c>
      <c r="O145" s="17">
        <v>14.7</v>
      </c>
      <c r="P145" s="22">
        <v>5.468</v>
      </c>
      <c r="Q145" s="23">
        <v>26.42</v>
      </c>
      <c r="R145" s="1">
        <v>15600</v>
      </c>
    </row>
    <row r="146" spans="1:18">
      <c r="A146" s="23">
        <v>29.29</v>
      </c>
      <c r="B146" s="17">
        <f t="shared" si="2"/>
        <v>11800</v>
      </c>
      <c r="C146" s="17">
        <v>11.8</v>
      </c>
      <c r="E146" s="23">
        <v>29.29</v>
      </c>
      <c r="F146" s="22">
        <v>4.9029999999999996</v>
      </c>
      <c r="G146" s="1">
        <v>11800</v>
      </c>
      <c r="I146" s="24">
        <v>1.25</v>
      </c>
      <c r="J146" s="19">
        <v>0.97799999999999998</v>
      </c>
      <c r="K146" s="20">
        <v>19.579999999999998</v>
      </c>
      <c r="L146" s="17">
        <v>0.871</v>
      </c>
      <c r="M146" s="17">
        <v>5</v>
      </c>
      <c r="N146" s="21">
        <v>403</v>
      </c>
      <c r="O146" s="17">
        <v>14.7</v>
      </c>
      <c r="P146" s="22">
        <v>4.9029999999999996</v>
      </c>
      <c r="Q146" s="23">
        <v>29.29</v>
      </c>
      <c r="R146" s="1">
        <v>11800</v>
      </c>
    </row>
    <row r="147" spans="1:18">
      <c r="A147" s="23">
        <v>27.8</v>
      </c>
      <c r="B147" s="17">
        <f t="shared" si="2"/>
        <v>13800</v>
      </c>
      <c r="C147" s="17">
        <v>13.8</v>
      </c>
      <c r="E147" s="23">
        <v>27.8</v>
      </c>
      <c r="F147" s="22">
        <v>6.13</v>
      </c>
      <c r="G147" s="1">
        <v>13800</v>
      </c>
      <c r="I147" s="24">
        <v>2.88</v>
      </c>
      <c r="J147" s="19">
        <v>1</v>
      </c>
      <c r="K147" s="20">
        <v>19.579999999999998</v>
      </c>
      <c r="L147" s="17">
        <v>0.871</v>
      </c>
      <c r="M147" s="17">
        <v>5</v>
      </c>
      <c r="N147" s="21">
        <v>403</v>
      </c>
      <c r="O147" s="17">
        <v>14.7</v>
      </c>
      <c r="P147" s="22">
        <v>6.13</v>
      </c>
      <c r="Q147" s="23">
        <v>27.8</v>
      </c>
      <c r="R147" s="1">
        <v>13800</v>
      </c>
    </row>
    <row r="148" spans="1:18">
      <c r="A148" s="23">
        <v>16.649999999999999</v>
      </c>
      <c r="B148" s="17">
        <f t="shared" si="2"/>
        <v>15600</v>
      </c>
      <c r="C148" s="17">
        <v>15.6</v>
      </c>
      <c r="E148" s="23">
        <v>16.649999999999999</v>
      </c>
      <c r="F148" s="22">
        <v>5.6280000000000001</v>
      </c>
      <c r="G148" s="1">
        <v>15600</v>
      </c>
      <c r="I148" s="24">
        <v>9.89</v>
      </c>
      <c r="J148" s="19">
        <v>1</v>
      </c>
      <c r="K148" s="20">
        <v>19.579999999999998</v>
      </c>
      <c r="L148" s="17">
        <v>0.871</v>
      </c>
      <c r="M148" s="17">
        <v>5</v>
      </c>
      <c r="N148" s="21">
        <v>403</v>
      </c>
      <c r="O148" s="17">
        <v>14.7</v>
      </c>
      <c r="P148" s="22">
        <v>5.6280000000000001</v>
      </c>
      <c r="Q148" s="23">
        <v>16.649999999999999</v>
      </c>
      <c r="R148" s="1">
        <v>15600</v>
      </c>
    </row>
    <row r="149" spans="1:18">
      <c r="A149" s="23">
        <v>29.53</v>
      </c>
      <c r="B149" s="17">
        <f t="shared" si="2"/>
        <v>14600</v>
      </c>
      <c r="C149" s="17">
        <v>14.6</v>
      </c>
      <c r="E149" s="23">
        <v>29.53</v>
      </c>
      <c r="F149" s="22">
        <v>4.9260000000000002</v>
      </c>
      <c r="G149" s="1">
        <v>14600</v>
      </c>
      <c r="I149" s="24">
        <v>8.5399999999999991</v>
      </c>
      <c r="J149" s="19">
        <v>0.95700000000000007</v>
      </c>
      <c r="K149" s="20">
        <v>19.579999999999998</v>
      </c>
      <c r="L149" s="17">
        <v>0.871</v>
      </c>
      <c r="M149" s="17">
        <v>5</v>
      </c>
      <c r="N149" s="21">
        <v>403</v>
      </c>
      <c r="O149" s="17">
        <v>14.7</v>
      </c>
      <c r="P149" s="22">
        <v>4.9260000000000002</v>
      </c>
      <c r="Q149" s="23">
        <v>29.53</v>
      </c>
      <c r="R149" s="1">
        <v>14600</v>
      </c>
    </row>
    <row r="150" spans="1:18">
      <c r="A150" s="23">
        <v>28.32</v>
      </c>
      <c r="B150" s="17">
        <f t="shared" si="2"/>
        <v>17800</v>
      </c>
      <c r="C150" s="17">
        <v>17.8</v>
      </c>
      <c r="E150" s="23">
        <v>28.32</v>
      </c>
      <c r="F150" s="22">
        <v>5.1859999999999999</v>
      </c>
      <c r="G150" s="1">
        <v>17800</v>
      </c>
      <c r="I150" s="24">
        <v>4.75</v>
      </c>
      <c r="J150" s="19">
        <v>0.93799999999999994</v>
      </c>
      <c r="K150" s="20">
        <v>19.579999999999998</v>
      </c>
      <c r="L150" s="17">
        <v>0.871</v>
      </c>
      <c r="M150" s="17">
        <v>5</v>
      </c>
      <c r="N150" s="21">
        <v>403</v>
      </c>
      <c r="O150" s="17">
        <v>14.7</v>
      </c>
      <c r="P150" s="22">
        <v>5.1859999999999999</v>
      </c>
      <c r="Q150" s="23">
        <v>28.32</v>
      </c>
      <c r="R150" s="1">
        <v>17800</v>
      </c>
    </row>
    <row r="151" spans="1:18">
      <c r="A151" s="23">
        <v>21.45</v>
      </c>
      <c r="B151" s="17">
        <f t="shared" si="2"/>
        <v>15400</v>
      </c>
      <c r="C151" s="17">
        <v>15.4</v>
      </c>
      <c r="E151" s="23">
        <v>21.45</v>
      </c>
      <c r="F151" s="22">
        <v>5.5970000000000004</v>
      </c>
      <c r="G151" s="1">
        <v>15400</v>
      </c>
      <c r="I151" s="24">
        <v>3.07</v>
      </c>
      <c r="J151" s="19">
        <v>0.94900000000000007</v>
      </c>
      <c r="K151" s="20">
        <v>19.579999999999998</v>
      </c>
      <c r="L151" s="17">
        <v>0.871</v>
      </c>
      <c r="M151" s="17">
        <v>5</v>
      </c>
      <c r="N151" s="21">
        <v>403</v>
      </c>
      <c r="O151" s="17">
        <v>14.7</v>
      </c>
      <c r="P151" s="22">
        <v>5.5970000000000004</v>
      </c>
      <c r="Q151" s="23">
        <v>21.45</v>
      </c>
      <c r="R151" s="1">
        <v>15400</v>
      </c>
    </row>
    <row r="152" spans="1:18">
      <c r="A152" s="23">
        <v>14.1</v>
      </c>
      <c r="B152" s="17">
        <f t="shared" si="2"/>
        <v>21500</v>
      </c>
      <c r="C152" s="17">
        <v>21.5</v>
      </c>
      <c r="E152" s="23">
        <v>14.1</v>
      </c>
      <c r="F152" s="22">
        <v>6.1219999999999999</v>
      </c>
      <c r="G152" s="1">
        <v>21500</v>
      </c>
      <c r="I152" s="24">
        <v>9.17</v>
      </c>
      <c r="J152" s="19">
        <v>0.97299999999999998</v>
      </c>
      <c r="K152" s="20">
        <v>19.579999999999998</v>
      </c>
      <c r="L152" s="17">
        <v>0.871</v>
      </c>
      <c r="M152" s="17">
        <v>5</v>
      </c>
      <c r="N152" s="21">
        <v>403</v>
      </c>
      <c r="O152" s="17">
        <v>14.7</v>
      </c>
      <c r="P152" s="22">
        <v>6.1219999999999999</v>
      </c>
      <c r="Q152" s="23">
        <v>14.1</v>
      </c>
      <c r="R152" s="1">
        <v>21500</v>
      </c>
    </row>
    <row r="153" spans="1:18">
      <c r="A153" s="23">
        <v>13.28</v>
      </c>
      <c r="B153" s="17">
        <f t="shared" si="2"/>
        <v>19600</v>
      </c>
      <c r="C153" s="17">
        <v>19.600000000000001</v>
      </c>
      <c r="E153" s="23">
        <v>13.28</v>
      </c>
      <c r="F153" s="22">
        <v>5.4039999999999999</v>
      </c>
      <c r="G153" s="1">
        <v>19600</v>
      </c>
      <c r="I153" s="24">
        <v>9.33</v>
      </c>
      <c r="J153" s="19">
        <v>1</v>
      </c>
      <c r="K153" s="20">
        <v>19.579999999999998</v>
      </c>
      <c r="L153" s="17">
        <v>0.871</v>
      </c>
      <c r="M153" s="17">
        <v>5</v>
      </c>
      <c r="N153" s="21">
        <v>403</v>
      </c>
      <c r="O153" s="17">
        <v>14.7</v>
      </c>
      <c r="P153" s="22">
        <v>5.4039999999999999</v>
      </c>
      <c r="Q153" s="23">
        <v>13.28</v>
      </c>
      <c r="R153" s="1">
        <v>19600</v>
      </c>
    </row>
    <row r="154" spans="1:18">
      <c r="A154" s="23">
        <v>12.12</v>
      </c>
      <c r="B154" s="17">
        <f t="shared" si="2"/>
        <v>15300</v>
      </c>
      <c r="C154" s="17">
        <v>15.3</v>
      </c>
      <c r="E154" s="23">
        <v>12.12</v>
      </c>
      <c r="F154" s="22">
        <v>5.0119999999999996</v>
      </c>
      <c r="G154" s="1">
        <v>15300</v>
      </c>
      <c r="I154" s="24">
        <v>3.51</v>
      </c>
      <c r="J154" s="19">
        <v>0.88</v>
      </c>
      <c r="K154" s="20">
        <v>19.579999999999998</v>
      </c>
      <c r="L154" s="17">
        <v>0.871</v>
      </c>
      <c r="M154" s="17">
        <v>5</v>
      </c>
      <c r="N154" s="21">
        <v>403</v>
      </c>
      <c r="O154" s="17">
        <v>14.7</v>
      </c>
      <c r="P154" s="22">
        <v>5.0119999999999996</v>
      </c>
      <c r="Q154" s="23">
        <v>12.12</v>
      </c>
      <c r="R154" s="1">
        <v>15300</v>
      </c>
    </row>
    <row r="155" spans="1:18">
      <c r="A155" s="23">
        <v>15.79</v>
      </c>
      <c r="B155" s="17">
        <f t="shared" si="2"/>
        <v>19400</v>
      </c>
      <c r="C155" s="17">
        <v>19.399999999999999</v>
      </c>
      <c r="E155" s="23">
        <v>15.79</v>
      </c>
      <c r="F155" s="22">
        <v>5.7089999999999996</v>
      </c>
      <c r="G155" s="1">
        <v>19400</v>
      </c>
      <c r="I155" s="24">
        <v>9.81</v>
      </c>
      <c r="J155" s="19">
        <v>0.98499999999999999</v>
      </c>
      <c r="K155" s="20">
        <v>19.579999999999998</v>
      </c>
      <c r="L155" s="17">
        <v>0.871</v>
      </c>
      <c r="M155" s="17">
        <v>5</v>
      </c>
      <c r="N155" s="21">
        <v>403</v>
      </c>
      <c r="O155" s="17">
        <v>14.7</v>
      </c>
      <c r="P155" s="22">
        <v>5.7089999999999996</v>
      </c>
      <c r="Q155" s="23">
        <v>15.79</v>
      </c>
      <c r="R155" s="1">
        <v>19400</v>
      </c>
    </row>
    <row r="156" spans="1:18">
      <c r="A156" s="23">
        <v>15.12</v>
      </c>
      <c r="B156" s="17">
        <f t="shared" si="2"/>
        <v>17000</v>
      </c>
      <c r="C156" s="17">
        <v>17</v>
      </c>
      <c r="E156" s="23">
        <v>15.12</v>
      </c>
      <c r="F156" s="22">
        <v>6.1289999999999996</v>
      </c>
      <c r="G156" s="1">
        <v>17000</v>
      </c>
      <c r="I156" s="24">
        <v>1.24</v>
      </c>
      <c r="J156" s="19">
        <v>0.96</v>
      </c>
      <c r="K156" s="20">
        <v>19.579999999999998</v>
      </c>
      <c r="L156" s="17">
        <v>0.871</v>
      </c>
      <c r="M156" s="17">
        <v>5</v>
      </c>
      <c r="N156" s="21">
        <v>403</v>
      </c>
      <c r="O156" s="17">
        <v>14.7</v>
      </c>
      <c r="P156" s="22">
        <v>6.1289999999999996</v>
      </c>
      <c r="Q156" s="23">
        <v>15.12</v>
      </c>
      <c r="R156" s="1">
        <v>17000</v>
      </c>
    </row>
    <row r="157" spans="1:18">
      <c r="A157" s="23">
        <v>15.02</v>
      </c>
      <c r="B157" s="17">
        <f t="shared" si="2"/>
        <v>15600</v>
      </c>
      <c r="C157" s="17">
        <v>15.6</v>
      </c>
      <c r="E157" s="23">
        <v>15.02</v>
      </c>
      <c r="F157" s="22">
        <v>6.1520000000000001</v>
      </c>
      <c r="G157" s="1">
        <v>15600</v>
      </c>
      <c r="I157" s="24">
        <v>0.76</v>
      </c>
      <c r="J157" s="19">
        <v>0.82599999999999996</v>
      </c>
      <c r="K157" s="20">
        <v>19.579999999999998</v>
      </c>
      <c r="L157" s="17">
        <v>0.871</v>
      </c>
      <c r="M157" s="17">
        <v>5</v>
      </c>
      <c r="N157" s="21">
        <v>403</v>
      </c>
      <c r="O157" s="17">
        <v>14.7</v>
      </c>
      <c r="P157" s="22">
        <v>6.1520000000000001</v>
      </c>
      <c r="Q157" s="23">
        <v>15.02</v>
      </c>
      <c r="R157" s="1">
        <v>15600</v>
      </c>
    </row>
    <row r="158" spans="1:18">
      <c r="A158" s="23">
        <v>16.14</v>
      </c>
      <c r="B158" s="17">
        <f t="shared" si="2"/>
        <v>13100</v>
      </c>
      <c r="C158" s="17">
        <v>13.1</v>
      </c>
      <c r="E158" s="23">
        <v>16.14</v>
      </c>
      <c r="F158" s="22">
        <v>5.2720000000000002</v>
      </c>
      <c r="G158" s="1">
        <v>13100</v>
      </c>
      <c r="I158" s="24">
        <v>9.09</v>
      </c>
      <c r="J158" s="19">
        <v>0.94000000000000006</v>
      </c>
      <c r="K158" s="20">
        <v>19.579999999999998</v>
      </c>
      <c r="L158" s="17">
        <v>0.871</v>
      </c>
      <c r="M158" s="17">
        <v>5</v>
      </c>
      <c r="N158" s="21">
        <v>403</v>
      </c>
      <c r="O158" s="17">
        <v>14.7</v>
      </c>
      <c r="P158" s="22">
        <v>5.2720000000000002</v>
      </c>
      <c r="Q158" s="23">
        <v>16.14</v>
      </c>
      <c r="R158" s="1">
        <v>13100</v>
      </c>
    </row>
    <row r="159" spans="1:18">
      <c r="A159" s="23">
        <v>4.59</v>
      </c>
      <c r="B159" s="17">
        <f t="shared" si="2"/>
        <v>41300</v>
      </c>
      <c r="C159" s="17">
        <v>41.3</v>
      </c>
      <c r="E159" s="23">
        <v>4.59</v>
      </c>
      <c r="F159" s="22">
        <v>6.9429999999999996</v>
      </c>
      <c r="G159" s="1">
        <v>41300</v>
      </c>
      <c r="I159" s="24">
        <v>7.86</v>
      </c>
      <c r="J159" s="19">
        <v>0.97400000000000009</v>
      </c>
      <c r="K159" s="20">
        <v>19.579999999999998</v>
      </c>
      <c r="L159" s="17">
        <v>0.60499999999999998</v>
      </c>
      <c r="M159" s="17">
        <v>5</v>
      </c>
      <c r="N159" s="21">
        <v>403</v>
      </c>
      <c r="O159" s="17">
        <v>14.7</v>
      </c>
      <c r="P159" s="22">
        <v>6.9429999999999996</v>
      </c>
      <c r="Q159" s="23">
        <v>4.59</v>
      </c>
      <c r="R159" s="1">
        <v>41300</v>
      </c>
    </row>
    <row r="160" spans="1:18">
      <c r="A160" s="23">
        <v>6.43</v>
      </c>
      <c r="B160" s="17">
        <f t="shared" si="2"/>
        <v>24300</v>
      </c>
      <c r="C160" s="17">
        <v>24.3</v>
      </c>
      <c r="E160" s="23">
        <v>6.43</v>
      </c>
      <c r="F160" s="22">
        <v>6.0659999999999998</v>
      </c>
      <c r="G160" s="1">
        <v>24300</v>
      </c>
      <c r="I160" s="24">
        <v>4.6900000000000004</v>
      </c>
      <c r="J160" s="19">
        <v>1</v>
      </c>
      <c r="K160" s="20">
        <v>19.579999999999998</v>
      </c>
      <c r="L160" s="17">
        <v>0.60499999999999998</v>
      </c>
      <c r="M160" s="17">
        <v>5</v>
      </c>
      <c r="N160" s="21">
        <v>403</v>
      </c>
      <c r="O160" s="17">
        <v>14.7</v>
      </c>
      <c r="P160" s="22">
        <v>6.0659999999999998</v>
      </c>
      <c r="Q160" s="23">
        <v>6.43</v>
      </c>
      <c r="R160" s="1">
        <v>24300</v>
      </c>
    </row>
    <row r="161" spans="1:18">
      <c r="A161" s="23">
        <v>7.39</v>
      </c>
      <c r="B161" s="17">
        <f t="shared" si="2"/>
        <v>23300</v>
      </c>
      <c r="C161" s="17">
        <v>23.3</v>
      </c>
      <c r="E161" s="23">
        <v>7.39</v>
      </c>
      <c r="F161" s="22">
        <v>6.51</v>
      </c>
      <c r="G161" s="1">
        <v>23300</v>
      </c>
      <c r="I161" s="24">
        <v>4.8099999999999996</v>
      </c>
      <c r="J161" s="19">
        <v>1</v>
      </c>
      <c r="K161" s="20">
        <v>19.579999999999998</v>
      </c>
      <c r="L161" s="17">
        <v>0.871</v>
      </c>
      <c r="M161" s="17">
        <v>5</v>
      </c>
      <c r="N161" s="21">
        <v>403</v>
      </c>
      <c r="O161" s="17">
        <v>14.7</v>
      </c>
      <c r="P161" s="22">
        <v>6.51</v>
      </c>
      <c r="Q161" s="23">
        <v>7.39</v>
      </c>
      <c r="R161" s="1">
        <v>23300</v>
      </c>
    </row>
    <row r="162" spans="1:18">
      <c r="A162" s="23">
        <v>5.5</v>
      </c>
      <c r="B162" s="17">
        <f t="shared" si="2"/>
        <v>27000</v>
      </c>
      <c r="C162" s="17">
        <v>27</v>
      </c>
      <c r="E162" s="23">
        <v>5.5</v>
      </c>
      <c r="F162" s="22">
        <v>6.25</v>
      </c>
      <c r="G162" s="1">
        <v>27000</v>
      </c>
      <c r="I162" s="24">
        <v>8.65</v>
      </c>
      <c r="J162" s="19">
        <v>0.92599999999999993</v>
      </c>
      <c r="K162" s="20">
        <v>19.579999999999998</v>
      </c>
      <c r="L162" s="17">
        <v>0.60499999999999998</v>
      </c>
      <c r="M162" s="17">
        <v>5</v>
      </c>
      <c r="N162" s="21">
        <v>403</v>
      </c>
      <c r="O162" s="17">
        <v>14.7</v>
      </c>
      <c r="P162" s="22">
        <v>6.25</v>
      </c>
      <c r="Q162" s="23">
        <v>5.5</v>
      </c>
      <c r="R162" s="1">
        <v>27000</v>
      </c>
    </row>
    <row r="163" spans="1:18">
      <c r="A163" s="23">
        <v>1.73</v>
      </c>
      <c r="B163" s="17">
        <f t="shared" si="2"/>
        <v>50000</v>
      </c>
      <c r="C163" s="17">
        <v>50</v>
      </c>
      <c r="E163" s="23">
        <v>1.73</v>
      </c>
      <c r="F163" s="22">
        <v>7.4889999999999999</v>
      </c>
      <c r="G163" s="1">
        <v>50000</v>
      </c>
      <c r="I163" s="24">
        <v>2.63</v>
      </c>
      <c r="J163" s="19">
        <v>0.90800000000000003</v>
      </c>
      <c r="K163" s="20">
        <v>19.579999999999998</v>
      </c>
      <c r="L163" s="17">
        <v>0.60499999999999998</v>
      </c>
      <c r="M163" s="17">
        <v>5</v>
      </c>
      <c r="N163" s="21">
        <v>403</v>
      </c>
      <c r="O163" s="17">
        <v>14.7</v>
      </c>
      <c r="P163" s="22">
        <v>7.4889999999999999</v>
      </c>
      <c r="Q163" s="23">
        <v>1.73</v>
      </c>
      <c r="R163" s="1">
        <v>50000</v>
      </c>
    </row>
    <row r="164" spans="1:18">
      <c r="A164" s="23">
        <v>1.92</v>
      </c>
      <c r="B164" s="17">
        <f t="shared" si="2"/>
        <v>50000</v>
      </c>
      <c r="C164" s="17">
        <v>50</v>
      </c>
      <c r="E164" s="23">
        <v>1.92</v>
      </c>
      <c r="F164" s="22">
        <v>7.8019999999999996</v>
      </c>
      <c r="G164" s="1">
        <v>50000</v>
      </c>
      <c r="I164" s="24">
        <v>8.39</v>
      </c>
      <c r="J164" s="19">
        <v>0.9820000000000001</v>
      </c>
      <c r="K164" s="20">
        <v>19.579999999999998</v>
      </c>
      <c r="L164" s="17">
        <v>0.60499999999999998</v>
      </c>
      <c r="M164" s="17">
        <v>5</v>
      </c>
      <c r="N164" s="21">
        <v>403</v>
      </c>
      <c r="O164" s="17">
        <v>14.7</v>
      </c>
      <c r="P164" s="22">
        <v>7.8019999999999996</v>
      </c>
      <c r="Q164" s="23">
        <v>1.92</v>
      </c>
      <c r="R164" s="1">
        <v>50000</v>
      </c>
    </row>
    <row r="165" spans="1:18">
      <c r="A165" s="23">
        <v>3.32</v>
      </c>
      <c r="B165" s="17">
        <f t="shared" si="2"/>
        <v>50000</v>
      </c>
      <c r="C165" s="17">
        <v>50</v>
      </c>
      <c r="E165" s="23">
        <v>3.32</v>
      </c>
      <c r="F165" s="22">
        <v>8.375</v>
      </c>
      <c r="G165" s="1">
        <v>50000</v>
      </c>
      <c r="I165" s="24">
        <v>1.26</v>
      </c>
      <c r="J165" s="19">
        <v>0.93900000000000006</v>
      </c>
      <c r="K165" s="20">
        <v>19.579999999999998</v>
      </c>
      <c r="L165" s="17">
        <v>0.60499999999999998</v>
      </c>
      <c r="M165" s="17">
        <v>5</v>
      </c>
      <c r="N165" s="21">
        <v>403</v>
      </c>
      <c r="O165" s="17">
        <v>14.7</v>
      </c>
      <c r="P165" s="22">
        <v>8.375</v>
      </c>
      <c r="Q165" s="23">
        <v>3.32</v>
      </c>
      <c r="R165" s="1">
        <v>50000</v>
      </c>
    </row>
    <row r="166" spans="1:18">
      <c r="A166" s="23">
        <v>11.64</v>
      </c>
      <c r="B166" s="17">
        <f t="shared" si="2"/>
        <v>22700</v>
      </c>
      <c r="C166" s="17">
        <v>22.7</v>
      </c>
      <c r="E166" s="23">
        <v>11.64</v>
      </c>
      <c r="F166" s="22">
        <v>5.8540000000000001</v>
      </c>
      <c r="G166" s="1">
        <v>22700</v>
      </c>
      <c r="I166" s="24">
        <v>0.75</v>
      </c>
      <c r="J166" s="19">
        <v>0.91800000000000004</v>
      </c>
      <c r="K166" s="20">
        <v>19.579999999999998</v>
      </c>
      <c r="L166" s="17">
        <v>0.60499999999999998</v>
      </c>
      <c r="M166" s="17">
        <v>5</v>
      </c>
      <c r="N166" s="21">
        <v>403</v>
      </c>
      <c r="O166" s="17">
        <v>14.7</v>
      </c>
      <c r="P166" s="22">
        <v>5.8540000000000001</v>
      </c>
      <c r="Q166" s="23">
        <v>11.64</v>
      </c>
      <c r="R166" s="1">
        <v>22700</v>
      </c>
    </row>
    <row r="167" spans="1:18">
      <c r="A167" s="23">
        <v>9.81</v>
      </c>
      <c r="B167" s="17">
        <f t="shared" si="2"/>
        <v>25000</v>
      </c>
      <c r="C167" s="17">
        <v>25</v>
      </c>
      <c r="E167" s="23">
        <v>9.81</v>
      </c>
      <c r="F167" s="22">
        <v>6.101</v>
      </c>
      <c r="G167" s="1">
        <v>25000</v>
      </c>
      <c r="I167" s="24">
        <v>6.11</v>
      </c>
      <c r="J167" s="19">
        <v>0.93</v>
      </c>
      <c r="K167" s="20">
        <v>19.579999999999998</v>
      </c>
      <c r="L167" s="17">
        <v>0.60499999999999998</v>
      </c>
      <c r="M167" s="17">
        <v>5</v>
      </c>
      <c r="N167" s="21">
        <v>403</v>
      </c>
      <c r="O167" s="17">
        <v>14.7</v>
      </c>
      <c r="P167" s="22">
        <v>6.101</v>
      </c>
      <c r="Q167" s="23">
        <v>9.81</v>
      </c>
      <c r="R167" s="1">
        <v>25000</v>
      </c>
    </row>
    <row r="168" spans="1:18">
      <c r="A168" s="23">
        <v>3.7</v>
      </c>
      <c r="B168" s="17">
        <f t="shared" si="2"/>
        <v>50000</v>
      </c>
      <c r="C168" s="17">
        <v>50</v>
      </c>
      <c r="E168" s="23">
        <v>3.7</v>
      </c>
      <c r="F168" s="22">
        <v>7.9290000000000003</v>
      </c>
      <c r="G168" s="1">
        <v>50000</v>
      </c>
      <c r="I168" s="24">
        <v>1.5</v>
      </c>
      <c r="J168" s="19">
        <v>0.96200000000000008</v>
      </c>
      <c r="K168" s="20">
        <v>19.579999999999998</v>
      </c>
      <c r="L168" s="17">
        <v>0.60499999999999998</v>
      </c>
      <c r="M168" s="17">
        <v>5</v>
      </c>
      <c r="N168" s="21">
        <v>403</v>
      </c>
      <c r="O168" s="17">
        <v>14.7</v>
      </c>
      <c r="P168" s="22">
        <v>7.9290000000000003</v>
      </c>
      <c r="Q168" s="23">
        <v>3.7</v>
      </c>
      <c r="R168" s="1">
        <v>50000</v>
      </c>
    </row>
    <row r="169" spans="1:18">
      <c r="A169" s="23">
        <v>12.14</v>
      </c>
      <c r="B169" s="17">
        <f t="shared" si="2"/>
        <v>23800</v>
      </c>
      <c r="C169" s="17">
        <v>23.8</v>
      </c>
      <c r="E169" s="23">
        <v>12.14</v>
      </c>
      <c r="F169" s="22">
        <v>5.8769999999999998</v>
      </c>
      <c r="G169" s="1">
        <v>23800</v>
      </c>
      <c r="I169" s="24">
        <v>1.33</v>
      </c>
      <c r="J169" s="19">
        <v>0.79200000000000004</v>
      </c>
      <c r="K169" s="20">
        <v>19.579999999999998</v>
      </c>
      <c r="L169" s="17">
        <v>0.60499999999999998</v>
      </c>
      <c r="M169" s="17">
        <v>5</v>
      </c>
      <c r="N169" s="21">
        <v>403</v>
      </c>
      <c r="O169" s="17">
        <v>14.7</v>
      </c>
      <c r="P169" s="22">
        <v>5.8769999999999998</v>
      </c>
      <c r="Q169" s="23">
        <v>12.14</v>
      </c>
      <c r="R169" s="1">
        <v>23800</v>
      </c>
    </row>
    <row r="170" spans="1:18">
      <c r="A170" s="23">
        <v>11.1</v>
      </c>
      <c r="B170" s="17">
        <f t="shared" si="2"/>
        <v>23800</v>
      </c>
      <c r="C170" s="17">
        <v>23.8</v>
      </c>
      <c r="E170" s="23">
        <v>11.1</v>
      </c>
      <c r="F170" s="22">
        <v>6.319</v>
      </c>
      <c r="G170" s="1">
        <v>23800</v>
      </c>
      <c r="I170" s="24">
        <v>6.02</v>
      </c>
      <c r="J170" s="19">
        <v>0.96099999999999997</v>
      </c>
      <c r="K170" s="20">
        <v>19.579999999999998</v>
      </c>
      <c r="L170" s="17">
        <v>0.60499999999999998</v>
      </c>
      <c r="M170" s="17">
        <v>5</v>
      </c>
      <c r="N170" s="21">
        <v>403</v>
      </c>
      <c r="O170" s="17">
        <v>14.7</v>
      </c>
      <c r="P170" s="22">
        <v>6.319</v>
      </c>
      <c r="Q170" s="23">
        <v>11.1</v>
      </c>
      <c r="R170" s="1">
        <v>23800</v>
      </c>
    </row>
    <row r="171" spans="1:18">
      <c r="A171" s="23">
        <v>11.32</v>
      </c>
      <c r="B171" s="17">
        <f t="shared" si="2"/>
        <v>22300</v>
      </c>
      <c r="C171" s="17">
        <v>22.3</v>
      </c>
      <c r="E171" s="23">
        <v>11.32</v>
      </c>
      <c r="F171" s="22">
        <v>6.4020000000000001</v>
      </c>
      <c r="G171" s="1">
        <v>22300</v>
      </c>
      <c r="I171" s="24">
        <v>0.42</v>
      </c>
      <c r="J171" s="19">
        <v>0.95200000000000007</v>
      </c>
      <c r="K171" s="20">
        <v>19.579999999999998</v>
      </c>
      <c r="L171" s="17">
        <v>0.60499999999999998</v>
      </c>
      <c r="M171" s="17">
        <v>5</v>
      </c>
      <c r="N171" s="21">
        <v>403</v>
      </c>
      <c r="O171" s="17">
        <v>14.7</v>
      </c>
      <c r="P171" s="22">
        <v>6.4020000000000001</v>
      </c>
      <c r="Q171" s="23">
        <v>11.32</v>
      </c>
      <c r="R171" s="1">
        <v>22300</v>
      </c>
    </row>
    <row r="172" spans="1:18">
      <c r="A172" s="23">
        <v>14.43</v>
      </c>
      <c r="B172" s="17">
        <f t="shared" si="2"/>
        <v>17400</v>
      </c>
      <c r="C172" s="17">
        <v>17.399999999999999</v>
      </c>
      <c r="E172" s="23">
        <v>14.43</v>
      </c>
      <c r="F172" s="22">
        <v>5.875</v>
      </c>
      <c r="G172" s="1">
        <v>17400</v>
      </c>
      <c r="I172" s="24">
        <v>4.8</v>
      </c>
      <c r="J172" s="19">
        <v>0.94599999999999995</v>
      </c>
      <c r="K172" s="20">
        <v>19.579999999999998</v>
      </c>
      <c r="L172" s="17">
        <v>0.60499999999999998</v>
      </c>
      <c r="M172" s="17">
        <v>5</v>
      </c>
      <c r="N172" s="21">
        <v>403</v>
      </c>
      <c r="O172" s="17">
        <v>14.7</v>
      </c>
      <c r="P172" s="22">
        <v>5.875</v>
      </c>
      <c r="Q172" s="23">
        <v>14.43</v>
      </c>
      <c r="R172" s="1">
        <v>17400</v>
      </c>
    </row>
    <row r="173" spans="1:18">
      <c r="A173" s="23">
        <v>12.03</v>
      </c>
      <c r="B173" s="17">
        <f t="shared" si="2"/>
        <v>19100</v>
      </c>
      <c r="C173" s="17">
        <v>19.100000000000001</v>
      </c>
      <c r="E173" s="23">
        <v>12.03</v>
      </c>
      <c r="F173" s="22">
        <v>5.88</v>
      </c>
      <c r="G173" s="1">
        <v>19100</v>
      </c>
      <c r="I173" s="24">
        <v>6.98</v>
      </c>
      <c r="J173" s="19">
        <v>0.97299999999999998</v>
      </c>
      <c r="K173" s="20">
        <v>19.579999999999998</v>
      </c>
      <c r="L173" s="17">
        <v>0.60499999999999998</v>
      </c>
      <c r="M173" s="17">
        <v>5</v>
      </c>
      <c r="N173" s="21">
        <v>403</v>
      </c>
      <c r="O173" s="17">
        <v>14.7</v>
      </c>
      <c r="P173" s="22">
        <v>5.88</v>
      </c>
      <c r="Q173" s="23">
        <v>12.03</v>
      </c>
      <c r="R173" s="1">
        <v>19100</v>
      </c>
    </row>
    <row r="174" spans="1:18">
      <c r="A174" s="23">
        <v>14.69</v>
      </c>
      <c r="B174" s="17">
        <f t="shared" si="2"/>
        <v>23100</v>
      </c>
      <c r="C174" s="17">
        <v>23.1</v>
      </c>
      <c r="E174" s="23">
        <v>14.69</v>
      </c>
      <c r="F174" s="22">
        <v>5.5720000000000001</v>
      </c>
      <c r="G174" s="1">
        <v>23100</v>
      </c>
      <c r="I174" s="24">
        <v>0.57999999999999996</v>
      </c>
      <c r="J174" s="19">
        <v>0.88500000000000001</v>
      </c>
      <c r="K174" s="20">
        <v>4.05</v>
      </c>
      <c r="L174" s="17">
        <v>0.51</v>
      </c>
      <c r="M174" s="17">
        <v>5</v>
      </c>
      <c r="N174" s="21">
        <v>296</v>
      </c>
      <c r="O174" s="17">
        <v>16.600000000000001</v>
      </c>
      <c r="P174" s="22">
        <v>5.5720000000000001</v>
      </c>
      <c r="Q174" s="23">
        <v>14.69</v>
      </c>
      <c r="R174" s="1">
        <v>23100</v>
      </c>
    </row>
    <row r="175" spans="1:18">
      <c r="A175" s="23">
        <v>9.0399999999999991</v>
      </c>
      <c r="B175" s="17">
        <f t="shared" si="2"/>
        <v>23600</v>
      </c>
      <c r="C175" s="17">
        <v>23.6</v>
      </c>
      <c r="E175" s="23">
        <v>9.0399999999999991</v>
      </c>
      <c r="F175" s="22">
        <v>6.4160000000000004</v>
      </c>
      <c r="G175" s="1">
        <v>23600</v>
      </c>
      <c r="I175" s="24">
        <v>3.64</v>
      </c>
      <c r="J175" s="19">
        <v>0.84099999999999997</v>
      </c>
      <c r="K175" s="20">
        <v>4.05</v>
      </c>
      <c r="L175" s="17">
        <v>0.51</v>
      </c>
      <c r="M175" s="17">
        <v>5</v>
      </c>
      <c r="N175" s="21">
        <v>296</v>
      </c>
      <c r="O175" s="17">
        <v>16.600000000000001</v>
      </c>
      <c r="P175" s="22">
        <v>6.4160000000000004</v>
      </c>
      <c r="Q175" s="23">
        <v>9.0399999999999991</v>
      </c>
      <c r="R175" s="1">
        <v>23600</v>
      </c>
    </row>
    <row r="176" spans="1:18">
      <c r="A176" s="23">
        <v>9.64</v>
      </c>
      <c r="B176" s="17">
        <f t="shared" si="2"/>
        <v>22600</v>
      </c>
      <c r="C176" s="17">
        <v>22.6</v>
      </c>
      <c r="E176" s="23">
        <v>9.64</v>
      </c>
      <c r="F176" s="22">
        <v>5.859</v>
      </c>
      <c r="G176" s="1">
        <v>22600</v>
      </c>
      <c r="I176" s="24">
        <v>0.76</v>
      </c>
      <c r="J176" s="19">
        <v>0.68700000000000006</v>
      </c>
      <c r="K176" s="20">
        <v>4.05</v>
      </c>
      <c r="L176" s="17">
        <v>0.51</v>
      </c>
      <c r="M176" s="17">
        <v>5</v>
      </c>
      <c r="N176" s="21">
        <v>296</v>
      </c>
      <c r="O176" s="17">
        <v>16.600000000000001</v>
      </c>
      <c r="P176" s="22">
        <v>5.859</v>
      </c>
      <c r="Q176" s="23">
        <v>9.64</v>
      </c>
      <c r="R176" s="1">
        <v>22600</v>
      </c>
    </row>
    <row r="177" spans="1:18">
      <c r="A177" s="23">
        <v>5.33</v>
      </c>
      <c r="B177" s="17">
        <f t="shared" si="2"/>
        <v>29400</v>
      </c>
      <c r="C177" s="17">
        <v>29.4</v>
      </c>
      <c r="E177" s="23">
        <v>5.33</v>
      </c>
      <c r="F177" s="22">
        <v>6.5460000000000003</v>
      </c>
      <c r="G177" s="1">
        <v>29400</v>
      </c>
      <c r="I177" s="24">
        <v>3.45</v>
      </c>
      <c r="J177" s="19">
        <v>0.33100000000000002</v>
      </c>
      <c r="K177" s="20">
        <v>4.05</v>
      </c>
      <c r="L177" s="17">
        <v>0.51</v>
      </c>
      <c r="M177" s="17">
        <v>5</v>
      </c>
      <c r="N177" s="21">
        <v>296</v>
      </c>
      <c r="O177" s="17">
        <v>16.600000000000001</v>
      </c>
      <c r="P177" s="22">
        <v>6.5460000000000003</v>
      </c>
      <c r="Q177" s="23">
        <v>5.33</v>
      </c>
      <c r="R177" s="1">
        <v>29400</v>
      </c>
    </row>
    <row r="178" spans="1:18">
      <c r="A178" s="23">
        <v>10.11</v>
      </c>
      <c r="B178" s="17">
        <f t="shared" si="2"/>
        <v>23200</v>
      </c>
      <c r="C178" s="17">
        <v>23.2</v>
      </c>
      <c r="E178" s="23">
        <v>10.11</v>
      </c>
      <c r="F178" s="22">
        <v>6.02</v>
      </c>
      <c r="G178" s="1">
        <v>23200</v>
      </c>
      <c r="I178" s="24">
        <v>3.56</v>
      </c>
      <c r="J178" s="19">
        <v>0.47200000000000003</v>
      </c>
      <c r="K178" s="20">
        <v>4.05</v>
      </c>
      <c r="L178" s="17">
        <v>0.51</v>
      </c>
      <c r="M178" s="17">
        <v>5</v>
      </c>
      <c r="N178" s="21">
        <v>296</v>
      </c>
      <c r="O178" s="17">
        <v>16.600000000000001</v>
      </c>
      <c r="P178" s="22">
        <v>6.02</v>
      </c>
      <c r="Q178" s="23">
        <v>10.11</v>
      </c>
      <c r="R178" s="1">
        <v>23200</v>
      </c>
    </row>
    <row r="179" spans="1:18">
      <c r="A179" s="23">
        <v>6.29</v>
      </c>
      <c r="B179" s="17">
        <f t="shared" si="2"/>
        <v>24600</v>
      </c>
      <c r="C179" s="17">
        <v>24.6</v>
      </c>
      <c r="E179" s="23">
        <v>6.29</v>
      </c>
      <c r="F179" s="22">
        <v>6.3150000000000004</v>
      </c>
      <c r="G179" s="1">
        <v>24600</v>
      </c>
      <c r="I179" s="24">
        <v>6.08</v>
      </c>
      <c r="J179" s="19">
        <v>0.7340000000000001</v>
      </c>
      <c r="K179" s="20">
        <v>4.05</v>
      </c>
      <c r="L179" s="17">
        <v>0.51</v>
      </c>
      <c r="M179" s="17">
        <v>5</v>
      </c>
      <c r="N179" s="21">
        <v>296</v>
      </c>
      <c r="O179" s="17">
        <v>16.600000000000001</v>
      </c>
      <c r="P179" s="22">
        <v>6.3150000000000004</v>
      </c>
      <c r="Q179" s="23">
        <v>6.29</v>
      </c>
      <c r="R179" s="1">
        <v>24600</v>
      </c>
    </row>
    <row r="180" spans="1:18">
      <c r="A180" s="23">
        <v>6.92</v>
      </c>
      <c r="B180" s="17">
        <f t="shared" si="2"/>
        <v>29900</v>
      </c>
      <c r="C180" s="17">
        <v>29.9</v>
      </c>
      <c r="E180" s="23">
        <v>6.92</v>
      </c>
      <c r="F180" s="22">
        <v>6.86</v>
      </c>
      <c r="G180" s="1">
        <v>29900</v>
      </c>
      <c r="I180" s="24">
        <v>3.77</v>
      </c>
      <c r="J180" s="19">
        <v>0.74400000000000011</v>
      </c>
      <c r="K180" s="20">
        <v>4.05</v>
      </c>
      <c r="L180" s="17">
        <v>0.51</v>
      </c>
      <c r="M180" s="17">
        <v>5</v>
      </c>
      <c r="N180" s="21">
        <v>296</v>
      </c>
      <c r="O180" s="17">
        <v>16.600000000000001</v>
      </c>
      <c r="P180" s="22">
        <v>6.86</v>
      </c>
      <c r="Q180" s="23">
        <v>6.92</v>
      </c>
      <c r="R180" s="1">
        <v>29900</v>
      </c>
    </row>
    <row r="181" spans="1:18">
      <c r="A181" s="23">
        <v>5.04</v>
      </c>
      <c r="B181" s="17">
        <f t="shared" si="2"/>
        <v>37200</v>
      </c>
      <c r="C181" s="17">
        <v>37.200000000000003</v>
      </c>
      <c r="E181" s="23">
        <v>5.04</v>
      </c>
      <c r="F181" s="22">
        <v>6.98</v>
      </c>
      <c r="G181" s="1">
        <v>37200</v>
      </c>
      <c r="I181" s="24">
        <v>8.06</v>
      </c>
      <c r="J181" s="19">
        <v>0.58399999999999996</v>
      </c>
      <c r="K181" s="20">
        <v>2.46</v>
      </c>
      <c r="L181" s="17">
        <v>0.48799999999999999</v>
      </c>
      <c r="M181" s="17">
        <v>3</v>
      </c>
      <c r="N181" s="21">
        <v>193</v>
      </c>
      <c r="O181" s="17">
        <v>17.8</v>
      </c>
      <c r="P181" s="22">
        <v>6.98</v>
      </c>
      <c r="Q181" s="23">
        <v>5.04</v>
      </c>
      <c r="R181" s="1">
        <v>37200</v>
      </c>
    </row>
    <row r="182" spans="1:18">
      <c r="A182" s="23">
        <v>7.56</v>
      </c>
      <c r="B182" s="17">
        <f t="shared" si="2"/>
        <v>39800</v>
      </c>
      <c r="C182" s="17">
        <v>39.799999999999997</v>
      </c>
      <c r="E182" s="23">
        <v>7.56</v>
      </c>
      <c r="F182" s="22">
        <v>7.7649999999999997</v>
      </c>
      <c r="G182" s="1">
        <v>39800</v>
      </c>
      <c r="I182" s="24">
        <v>1.77</v>
      </c>
      <c r="J182" s="19">
        <v>0.83299999999999996</v>
      </c>
      <c r="K182" s="20">
        <v>2.46</v>
      </c>
      <c r="L182" s="17">
        <v>0.48799999999999999</v>
      </c>
      <c r="M182" s="17">
        <v>3</v>
      </c>
      <c r="N182" s="21">
        <v>193</v>
      </c>
      <c r="O182" s="17">
        <v>17.8</v>
      </c>
      <c r="P182" s="22">
        <v>7.7649999999999997</v>
      </c>
      <c r="Q182" s="23">
        <v>7.56</v>
      </c>
      <c r="R182" s="1">
        <v>39800</v>
      </c>
    </row>
    <row r="183" spans="1:18">
      <c r="A183" s="23">
        <v>9.4499999999999993</v>
      </c>
      <c r="B183" s="17">
        <f t="shared" si="2"/>
        <v>36200</v>
      </c>
      <c r="C183" s="17">
        <v>36.200000000000003</v>
      </c>
      <c r="E183" s="23">
        <v>9.4499999999999993</v>
      </c>
      <c r="F183" s="22">
        <v>6.1440000000000001</v>
      </c>
      <c r="G183" s="1">
        <v>36200</v>
      </c>
      <c r="I183" s="24">
        <v>2.2200000000000002</v>
      </c>
      <c r="J183" s="19">
        <v>0.622</v>
      </c>
      <c r="K183" s="20">
        <v>2.46</v>
      </c>
      <c r="L183" s="17">
        <v>0.48799999999999999</v>
      </c>
      <c r="M183" s="17">
        <v>3</v>
      </c>
      <c r="N183" s="21">
        <v>193</v>
      </c>
      <c r="O183" s="17">
        <v>17.8</v>
      </c>
      <c r="P183" s="22">
        <v>6.1440000000000001</v>
      </c>
      <c r="Q183" s="23">
        <v>9.4499999999999993</v>
      </c>
      <c r="R183" s="1">
        <v>36200</v>
      </c>
    </row>
    <row r="184" spans="1:18">
      <c r="A184" s="23">
        <v>4.82</v>
      </c>
      <c r="B184" s="17">
        <f t="shared" si="2"/>
        <v>37900</v>
      </c>
      <c r="C184" s="17">
        <v>37.9</v>
      </c>
      <c r="E184" s="23">
        <v>4.82</v>
      </c>
      <c r="F184" s="22">
        <v>7.1550000000000002</v>
      </c>
      <c r="G184" s="1">
        <v>37900</v>
      </c>
      <c r="I184" s="24">
        <v>6.17</v>
      </c>
      <c r="J184" s="19">
        <v>0.92200000000000004</v>
      </c>
      <c r="K184" s="20">
        <v>2.46</v>
      </c>
      <c r="L184" s="17">
        <v>0.48799999999999999</v>
      </c>
      <c r="M184" s="17">
        <v>3</v>
      </c>
      <c r="N184" s="21">
        <v>193</v>
      </c>
      <c r="O184" s="17">
        <v>17.8</v>
      </c>
      <c r="P184" s="22">
        <v>7.1550000000000002</v>
      </c>
      <c r="Q184" s="23">
        <v>4.82</v>
      </c>
      <c r="R184" s="1">
        <v>37900</v>
      </c>
    </row>
    <row r="185" spans="1:18">
      <c r="A185" s="23">
        <v>5.68</v>
      </c>
      <c r="B185" s="17">
        <f t="shared" si="2"/>
        <v>32500</v>
      </c>
      <c r="C185" s="17">
        <v>32.5</v>
      </c>
      <c r="E185" s="23">
        <v>5.68</v>
      </c>
      <c r="F185" s="22">
        <v>6.5629999999999997</v>
      </c>
      <c r="G185" s="1">
        <v>32500</v>
      </c>
      <c r="I185" s="24">
        <v>3.62</v>
      </c>
      <c r="J185" s="19">
        <v>0.95599999999999996</v>
      </c>
      <c r="K185" s="20">
        <v>2.46</v>
      </c>
      <c r="L185" s="17">
        <v>0.48799999999999999</v>
      </c>
      <c r="M185" s="17">
        <v>3</v>
      </c>
      <c r="N185" s="21">
        <v>193</v>
      </c>
      <c r="O185" s="17">
        <v>17.8</v>
      </c>
      <c r="P185" s="22">
        <v>6.5629999999999997</v>
      </c>
      <c r="Q185" s="23">
        <v>5.68</v>
      </c>
      <c r="R185" s="1">
        <v>32500</v>
      </c>
    </row>
    <row r="186" spans="1:18">
      <c r="A186" s="23">
        <v>13.98</v>
      </c>
      <c r="B186" s="17">
        <f t="shared" si="2"/>
        <v>26400</v>
      </c>
      <c r="C186" s="17">
        <v>26.4</v>
      </c>
      <c r="E186" s="23">
        <v>13.98</v>
      </c>
      <c r="F186" s="22">
        <v>5.6040000000000001</v>
      </c>
      <c r="G186" s="1">
        <v>26400</v>
      </c>
      <c r="I186" s="24">
        <v>5.47</v>
      </c>
      <c r="J186" s="19">
        <v>0.89800000000000002</v>
      </c>
      <c r="K186" s="20">
        <v>2.46</v>
      </c>
      <c r="L186" s="17">
        <v>0.48799999999999999</v>
      </c>
      <c r="M186" s="17">
        <v>3</v>
      </c>
      <c r="N186" s="21">
        <v>193</v>
      </c>
      <c r="O186" s="17">
        <v>17.8</v>
      </c>
      <c r="P186" s="22">
        <v>5.6040000000000001</v>
      </c>
      <c r="Q186" s="23">
        <v>13.98</v>
      </c>
      <c r="R186" s="1">
        <v>26400</v>
      </c>
    </row>
    <row r="187" spans="1:18">
      <c r="A187" s="23">
        <v>13.15</v>
      </c>
      <c r="B187" s="17">
        <f t="shared" si="2"/>
        <v>29600</v>
      </c>
      <c r="C187" s="17">
        <v>29.6</v>
      </c>
      <c r="E187" s="23">
        <v>13.15</v>
      </c>
      <c r="F187" s="22">
        <v>6.1529999999999996</v>
      </c>
      <c r="G187" s="1">
        <v>29600</v>
      </c>
      <c r="I187" s="24">
        <v>6.89</v>
      </c>
      <c r="J187" s="19">
        <v>0.68799999999999994</v>
      </c>
      <c r="K187" s="20">
        <v>2.46</v>
      </c>
      <c r="L187" s="17">
        <v>0.48799999999999999</v>
      </c>
      <c r="M187" s="17">
        <v>3</v>
      </c>
      <c r="N187" s="21">
        <v>193</v>
      </c>
      <c r="O187" s="17">
        <v>17.8</v>
      </c>
      <c r="P187" s="22">
        <v>6.1529999999999996</v>
      </c>
      <c r="Q187" s="23">
        <v>13.15</v>
      </c>
      <c r="R187" s="1">
        <v>29600</v>
      </c>
    </row>
    <row r="188" spans="1:18">
      <c r="A188" s="23">
        <v>4.45</v>
      </c>
      <c r="B188" s="17">
        <f t="shared" si="2"/>
        <v>50000</v>
      </c>
      <c r="C188" s="17">
        <v>50</v>
      </c>
      <c r="E188" s="23">
        <v>4.45</v>
      </c>
      <c r="F188" s="22">
        <v>7.8310000000000004</v>
      </c>
      <c r="G188" s="1">
        <v>50000</v>
      </c>
      <c r="I188" s="24">
        <v>7.23</v>
      </c>
      <c r="J188" s="19">
        <v>0.53600000000000003</v>
      </c>
      <c r="K188" s="20">
        <v>2.46</v>
      </c>
      <c r="L188" s="17">
        <v>0.48799999999999999</v>
      </c>
      <c r="M188" s="17">
        <v>3</v>
      </c>
      <c r="N188" s="21">
        <v>193</v>
      </c>
      <c r="O188" s="17">
        <v>17.8</v>
      </c>
      <c r="P188" s="22">
        <v>7.8310000000000004</v>
      </c>
      <c r="Q188" s="23">
        <v>4.45</v>
      </c>
      <c r="R188" s="1">
        <v>50000</v>
      </c>
    </row>
    <row r="189" spans="1:18">
      <c r="A189" s="23">
        <v>6.68</v>
      </c>
      <c r="B189" s="17">
        <f t="shared" si="2"/>
        <v>32000</v>
      </c>
      <c r="C189" s="17">
        <v>32</v>
      </c>
      <c r="E189" s="23">
        <v>6.68</v>
      </c>
      <c r="F189" s="22">
        <v>6.782</v>
      </c>
      <c r="G189" s="1">
        <v>32000</v>
      </c>
      <c r="I189" s="24">
        <v>0.76</v>
      </c>
      <c r="J189" s="19">
        <v>0.41100000000000003</v>
      </c>
      <c r="K189" s="20">
        <v>3.44</v>
      </c>
      <c r="L189" s="17">
        <v>0.437</v>
      </c>
      <c r="M189" s="17">
        <v>5</v>
      </c>
      <c r="N189" s="21">
        <v>398</v>
      </c>
      <c r="O189" s="17">
        <v>15.2</v>
      </c>
      <c r="P189" s="22">
        <v>6.782</v>
      </c>
      <c r="Q189" s="23">
        <v>6.68</v>
      </c>
      <c r="R189" s="1">
        <v>32000</v>
      </c>
    </row>
    <row r="190" spans="1:18">
      <c r="A190" s="23">
        <v>4.5599999999999996</v>
      </c>
      <c r="B190" s="17">
        <f t="shared" si="2"/>
        <v>29800</v>
      </c>
      <c r="C190" s="17">
        <v>29.8</v>
      </c>
      <c r="E190" s="23">
        <v>4.5599999999999996</v>
      </c>
      <c r="F190" s="22">
        <v>6.556</v>
      </c>
      <c r="G190" s="1">
        <v>29800</v>
      </c>
      <c r="I190" s="24">
        <v>3.82</v>
      </c>
      <c r="J190" s="19">
        <v>0.29100000000000004</v>
      </c>
      <c r="K190" s="20">
        <v>3.44</v>
      </c>
      <c r="L190" s="17">
        <v>0.437</v>
      </c>
      <c r="M190" s="17">
        <v>5</v>
      </c>
      <c r="N190" s="21">
        <v>398</v>
      </c>
      <c r="O190" s="17">
        <v>15.2</v>
      </c>
      <c r="P190" s="22">
        <v>6.556</v>
      </c>
      <c r="Q190" s="23">
        <v>4.5599999999999996</v>
      </c>
      <c r="R190" s="1">
        <v>29800</v>
      </c>
    </row>
    <row r="191" spans="1:18">
      <c r="A191" s="23">
        <v>5.39</v>
      </c>
      <c r="B191" s="17">
        <f t="shared" si="2"/>
        <v>34900</v>
      </c>
      <c r="C191" s="17">
        <v>34.9</v>
      </c>
      <c r="E191" s="23">
        <v>5.39</v>
      </c>
      <c r="F191" s="22">
        <v>7.1849999999999996</v>
      </c>
      <c r="G191" s="1">
        <v>34900</v>
      </c>
      <c r="I191" s="24">
        <v>8.73</v>
      </c>
      <c r="J191" s="19">
        <v>0.38900000000000001</v>
      </c>
      <c r="K191" s="20">
        <v>3.44</v>
      </c>
      <c r="L191" s="17">
        <v>0.437</v>
      </c>
      <c r="M191" s="17">
        <v>5</v>
      </c>
      <c r="N191" s="21">
        <v>398</v>
      </c>
      <c r="O191" s="17">
        <v>15.2</v>
      </c>
      <c r="P191" s="22">
        <v>7.1849999999999996</v>
      </c>
      <c r="Q191" s="23">
        <v>5.39</v>
      </c>
      <c r="R191" s="1">
        <v>34900</v>
      </c>
    </row>
    <row r="192" spans="1:18">
      <c r="A192" s="23">
        <v>5.0999999999999996</v>
      </c>
      <c r="B192" s="17">
        <f t="shared" si="2"/>
        <v>37000</v>
      </c>
      <c r="C192" s="17">
        <v>37</v>
      </c>
      <c r="E192" s="23">
        <v>5.0999999999999996</v>
      </c>
      <c r="F192" s="22">
        <v>6.9509999999999996</v>
      </c>
      <c r="G192" s="1">
        <v>37000</v>
      </c>
      <c r="I192" s="24">
        <v>0.62</v>
      </c>
      <c r="J192" s="19">
        <v>0.215</v>
      </c>
      <c r="K192" s="20">
        <v>3.44</v>
      </c>
      <c r="L192" s="17">
        <v>0.437</v>
      </c>
      <c r="M192" s="17">
        <v>5</v>
      </c>
      <c r="N192" s="21">
        <v>398</v>
      </c>
      <c r="O192" s="17">
        <v>15.2</v>
      </c>
      <c r="P192" s="22">
        <v>6.9509999999999996</v>
      </c>
      <c r="Q192" s="23">
        <v>5.0999999999999996</v>
      </c>
      <c r="R192" s="1">
        <v>37000</v>
      </c>
    </row>
    <row r="193" spans="1:18">
      <c r="A193" s="23">
        <v>4.6900000000000004</v>
      </c>
      <c r="B193" s="17">
        <f t="shared" si="2"/>
        <v>30500</v>
      </c>
      <c r="C193" s="17">
        <v>30.5</v>
      </c>
      <c r="E193" s="23">
        <v>4.6900000000000004</v>
      </c>
      <c r="F193" s="22">
        <v>6.7389999999999999</v>
      </c>
      <c r="G193" s="1">
        <v>30500</v>
      </c>
      <c r="I193" s="24">
        <v>0.9</v>
      </c>
      <c r="J193" s="19">
        <v>0.308</v>
      </c>
      <c r="K193" s="20">
        <v>3.44</v>
      </c>
      <c r="L193" s="17">
        <v>0.437</v>
      </c>
      <c r="M193" s="17">
        <v>5</v>
      </c>
      <c r="N193" s="21">
        <v>398</v>
      </c>
      <c r="O193" s="17">
        <v>15.2</v>
      </c>
      <c r="P193" s="22">
        <v>6.7389999999999999</v>
      </c>
      <c r="Q193" s="23">
        <v>4.6900000000000004</v>
      </c>
      <c r="R193" s="1">
        <v>30500</v>
      </c>
    </row>
    <row r="194" spans="1:18">
      <c r="A194" s="23">
        <v>2.87</v>
      </c>
      <c r="B194" s="17">
        <f t="shared" si="2"/>
        <v>36400</v>
      </c>
      <c r="C194" s="17">
        <v>36.4</v>
      </c>
      <c r="E194" s="23">
        <v>2.87</v>
      </c>
      <c r="F194" s="22">
        <v>7.1779999999999999</v>
      </c>
      <c r="G194" s="1">
        <v>36400</v>
      </c>
      <c r="I194" s="24">
        <v>2.7</v>
      </c>
      <c r="J194" s="19">
        <v>0.26300000000000001</v>
      </c>
      <c r="K194" s="20">
        <v>3.44</v>
      </c>
      <c r="L194" s="17">
        <v>0.437</v>
      </c>
      <c r="M194" s="17">
        <v>5</v>
      </c>
      <c r="N194" s="21">
        <v>398</v>
      </c>
      <c r="O194" s="17">
        <v>15.2</v>
      </c>
      <c r="P194" s="22">
        <v>7.1779999999999999</v>
      </c>
      <c r="Q194" s="23">
        <v>2.87</v>
      </c>
      <c r="R194" s="1">
        <v>36400</v>
      </c>
    </row>
    <row r="195" spans="1:18">
      <c r="A195" s="23">
        <v>5.03</v>
      </c>
      <c r="B195" s="17">
        <f t="shared" ref="B195:B258" si="3">C195*1000</f>
        <v>31100</v>
      </c>
      <c r="C195" s="17">
        <v>31.1</v>
      </c>
      <c r="E195" s="23">
        <v>5.03</v>
      </c>
      <c r="F195" s="22">
        <v>6.8</v>
      </c>
      <c r="G195" s="1">
        <v>31100</v>
      </c>
      <c r="I195" s="24">
        <v>6.51</v>
      </c>
      <c r="J195" s="19">
        <v>9.9000000000000005E-2</v>
      </c>
      <c r="K195" s="20">
        <v>2.93</v>
      </c>
      <c r="L195" s="17">
        <v>0.40100000000000002</v>
      </c>
      <c r="M195" s="17">
        <v>1</v>
      </c>
      <c r="N195" s="21">
        <v>265</v>
      </c>
      <c r="O195" s="17">
        <v>15.6</v>
      </c>
      <c r="P195" s="22">
        <v>6.8</v>
      </c>
      <c r="Q195" s="23">
        <v>5.03</v>
      </c>
      <c r="R195" s="1">
        <v>31100</v>
      </c>
    </row>
    <row r="196" spans="1:18">
      <c r="A196" s="23">
        <v>4.38</v>
      </c>
      <c r="B196" s="17">
        <f t="shared" si="3"/>
        <v>29100</v>
      </c>
      <c r="C196" s="17">
        <v>29.1</v>
      </c>
      <c r="E196" s="23">
        <v>4.38</v>
      </c>
      <c r="F196" s="22">
        <v>6.6040000000000001</v>
      </c>
      <c r="G196" s="1">
        <v>29100</v>
      </c>
      <c r="I196" s="24">
        <v>1.65</v>
      </c>
      <c r="J196" s="19">
        <v>0.188</v>
      </c>
      <c r="K196" s="20">
        <v>2.93</v>
      </c>
      <c r="L196" s="17">
        <v>0.40100000000000002</v>
      </c>
      <c r="M196" s="17">
        <v>1</v>
      </c>
      <c r="N196" s="21">
        <v>265</v>
      </c>
      <c r="O196" s="17">
        <v>15.6</v>
      </c>
      <c r="P196" s="22">
        <v>6.6040000000000001</v>
      </c>
      <c r="Q196" s="23">
        <v>4.38</v>
      </c>
      <c r="R196" s="1">
        <v>29100</v>
      </c>
    </row>
    <row r="197" spans="1:18">
      <c r="A197" s="23">
        <v>2.97</v>
      </c>
      <c r="B197" s="17">
        <f t="shared" si="3"/>
        <v>50000</v>
      </c>
      <c r="C197" s="17">
        <v>50</v>
      </c>
      <c r="E197" s="23">
        <v>2.97</v>
      </c>
      <c r="F197" s="22">
        <v>7.875</v>
      </c>
      <c r="G197" s="1">
        <v>50000</v>
      </c>
      <c r="I197" s="24">
        <v>9.89</v>
      </c>
      <c r="J197" s="19">
        <v>0.32</v>
      </c>
      <c r="K197" s="20">
        <v>0.46</v>
      </c>
      <c r="L197" s="17">
        <v>0.42199999999999999</v>
      </c>
      <c r="M197" s="17">
        <v>4</v>
      </c>
      <c r="N197" s="21">
        <v>255</v>
      </c>
      <c r="O197" s="17">
        <v>14.4</v>
      </c>
      <c r="P197" s="22">
        <v>7.875</v>
      </c>
      <c r="Q197" s="23">
        <v>2.97</v>
      </c>
      <c r="R197" s="1">
        <v>50000</v>
      </c>
    </row>
    <row r="198" spans="1:18">
      <c r="A198" s="23">
        <v>4.08</v>
      </c>
      <c r="B198" s="17">
        <f t="shared" si="3"/>
        <v>33300</v>
      </c>
      <c r="C198" s="17">
        <v>33.299999999999997</v>
      </c>
      <c r="E198" s="23">
        <v>4.08</v>
      </c>
      <c r="F198" s="22">
        <v>7.2869999999999999</v>
      </c>
      <c r="G198" s="1">
        <v>33300</v>
      </c>
      <c r="I198" s="24">
        <v>6.03</v>
      </c>
      <c r="J198" s="19">
        <v>0.34100000000000003</v>
      </c>
      <c r="K198" s="20">
        <v>1.52</v>
      </c>
      <c r="L198" s="17">
        <v>0.40400000000000003</v>
      </c>
      <c r="M198" s="17">
        <v>2</v>
      </c>
      <c r="N198" s="21">
        <v>329</v>
      </c>
      <c r="O198" s="17">
        <v>12.6</v>
      </c>
      <c r="P198" s="22">
        <v>7.2869999999999999</v>
      </c>
      <c r="Q198" s="23">
        <v>4.08</v>
      </c>
      <c r="R198" s="1">
        <v>33300</v>
      </c>
    </row>
    <row r="199" spans="1:18">
      <c r="A199" s="23">
        <v>8.61</v>
      </c>
      <c r="B199" s="17">
        <f t="shared" si="3"/>
        <v>30300</v>
      </c>
      <c r="C199" s="17">
        <v>30.3</v>
      </c>
      <c r="E199" s="23">
        <v>8.61</v>
      </c>
      <c r="F199" s="22">
        <v>7.1070000000000002</v>
      </c>
      <c r="G199" s="1">
        <v>30300</v>
      </c>
      <c r="I199" s="24">
        <v>6.31</v>
      </c>
      <c r="J199" s="19">
        <v>0.36600000000000005</v>
      </c>
      <c r="K199" s="20">
        <v>1.52</v>
      </c>
      <c r="L199" s="17">
        <v>0.40400000000000003</v>
      </c>
      <c r="M199" s="17">
        <v>2</v>
      </c>
      <c r="N199" s="21">
        <v>329</v>
      </c>
      <c r="O199" s="17">
        <v>12.6</v>
      </c>
      <c r="P199" s="22">
        <v>7.1070000000000002</v>
      </c>
      <c r="Q199" s="23">
        <v>8.61</v>
      </c>
      <c r="R199" s="1">
        <v>30300</v>
      </c>
    </row>
    <row r="200" spans="1:18">
      <c r="A200" s="23">
        <v>6.62</v>
      </c>
      <c r="B200" s="17">
        <f t="shared" si="3"/>
        <v>34600</v>
      </c>
      <c r="C200" s="17">
        <v>34.6</v>
      </c>
      <c r="E200" s="23">
        <v>6.62</v>
      </c>
      <c r="F200" s="22">
        <v>7.274</v>
      </c>
      <c r="G200" s="1">
        <v>34600</v>
      </c>
      <c r="I200" s="24">
        <v>9.7799999999999994</v>
      </c>
      <c r="J200" s="19">
        <v>0.38300000000000001</v>
      </c>
      <c r="K200" s="20">
        <v>1.52</v>
      </c>
      <c r="L200" s="17">
        <v>0.40400000000000003</v>
      </c>
      <c r="M200" s="17">
        <v>2</v>
      </c>
      <c r="N200" s="21">
        <v>329</v>
      </c>
      <c r="O200" s="17">
        <v>12.6</v>
      </c>
      <c r="P200" s="22">
        <v>7.274</v>
      </c>
      <c r="Q200" s="23">
        <v>6.62</v>
      </c>
      <c r="R200" s="1">
        <v>34600</v>
      </c>
    </row>
    <row r="201" spans="1:18">
      <c r="A201" s="23">
        <v>4.5599999999999996</v>
      </c>
      <c r="B201" s="17">
        <f t="shared" si="3"/>
        <v>34900</v>
      </c>
      <c r="C201" s="17">
        <v>34.9</v>
      </c>
      <c r="E201" s="23">
        <v>4.5599999999999996</v>
      </c>
      <c r="F201" s="22">
        <v>6.9749999999999996</v>
      </c>
      <c r="G201" s="1">
        <v>34900</v>
      </c>
      <c r="I201" s="24">
        <v>3.19</v>
      </c>
      <c r="J201" s="19">
        <v>0.153</v>
      </c>
      <c r="K201" s="20">
        <v>1.47</v>
      </c>
      <c r="L201" s="17">
        <v>0.40300000000000002</v>
      </c>
      <c r="M201" s="17">
        <v>3</v>
      </c>
      <c r="N201" s="21">
        <v>402</v>
      </c>
      <c r="O201" s="17">
        <v>17</v>
      </c>
      <c r="P201" s="22">
        <v>6.9749999999999996</v>
      </c>
      <c r="Q201" s="23">
        <v>4.5599999999999996</v>
      </c>
      <c r="R201" s="1">
        <v>34900</v>
      </c>
    </row>
    <row r="202" spans="1:18">
      <c r="A202" s="23">
        <v>4.45</v>
      </c>
      <c r="B202" s="17">
        <f t="shared" si="3"/>
        <v>32900</v>
      </c>
      <c r="C202" s="17">
        <v>32.9</v>
      </c>
      <c r="E202" s="23">
        <v>4.45</v>
      </c>
      <c r="F202" s="22">
        <v>7.1349999999999998</v>
      </c>
      <c r="G202" s="1">
        <v>32900</v>
      </c>
      <c r="I202" s="24">
        <v>0.41</v>
      </c>
      <c r="J202" s="19">
        <v>0.13900000000000001</v>
      </c>
      <c r="K202" s="20">
        <v>1.47</v>
      </c>
      <c r="L202" s="17">
        <v>0.40300000000000002</v>
      </c>
      <c r="M202" s="17">
        <v>3</v>
      </c>
      <c r="N202" s="21">
        <v>402</v>
      </c>
      <c r="O202" s="17">
        <v>17</v>
      </c>
      <c r="P202" s="22">
        <v>7.1349999999999998</v>
      </c>
      <c r="Q202" s="23">
        <v>4.45</v>
      </c>
      <c r="R202" s="1">
        <v>32900</v>
      </c>
    </row>
    <row r="203" spans="1:18">
      <c r="A203" s="23">
        <v>7.43</v>
      </c>
      <c r="B203" s="17">
        <f t="shared" si="3"/>
        <v>24100</v>
      </c>
      <c r="C203" s="17">
        <v>24.1</v>
      </c>
      <c r="E203" s="23">
        <v>7.43</v>
      </c>
      <c r="F203" s="22">
        <v>6.1619999999999999</v>
      </c>
      <c r="G203" s="1">
        <v>24100</v>
      </c>
      <c r="I203" s="24">
        <v>1.92</v>
      </c>
      <c r="J203" s="19">
        <v>0.38400000000000001</v>
      </c>
      <c r="K203" s="20">
        <v>2.0299999999999998</v>
      </c>
      <c r="L203" s="17">
        <v>0.41499999999999998</v>
      </c>
      <c r="M203" s="17">
        <v>2</v>
      </c>
      <c r="N203" s="21">
        <v>348</v>
      </c>
      <c r="O203" s="17">
        <v>14.7</v>
      </c>
      <c r="P203" s="22">
        <v>6.1619999999999999</v>
      </c>
      <c r="Q203" s="23">
        <v>7.43</v>
      </c>
      <c r="R203" s="1">
        <v>24100</v>
      </c>
    </row>
    <row r="204" spans="1:18">
      <c r="A204" s="23">
        <v>3.11</v>
      </c>
      <c r="B204" s="17">
        <f t="shared" si="3"/>
        <v>42300</v>
      </c>
      <c r="C204" s="17">
        <v>42.3</v>
      </c>
      <c r="E204" s="23">
        <v>3.11</v>
      </c>
      <c r="F204" s="22">
        <v>7.61</v>
      </c>
      <c r="G204" s="1">
        <v>42300</v>
      </c>
      <c r="I204" s="24">
        <v>9.3000000000000007</v>
      </c>
      <c r="J204" s="19">
        <v>0.157</v>
      </c>
      <c r="K204" s="20">
        <v>2.0299999999999998</v>
      </c>
      <c r="L204" s="17">
        <v>0.41499999999999998</v>
      </c>
      <c r="M204" s="17">
        <v>2</v>
      </c>
      <c r="N204" s="21">
        <v>348</v>
      </c>
      <c r="O204" s="17">
        <v>14.7</v>
      </c>
      <c r="P204" s="22">
        <v>7.61</v>
      </c>
      <c r="Q204" s="23">
        <v>3.11</v>
      </c>
      <c r="R204" s="1">
        <v>42300</v>
      </c>
    </row>
    <row r="205" spans="1:18">
      <c r="A205" s="23">
        <v>3.81</v>
      </c>
      <c r="B205" s="17">
        <f t="shared" si="3"/>
        <v>48500</v>
      </c>
      <c r="C205" s="17">
        <v>48.5</v>
      </c>
      <c r="E205" s="23">
        <v>3.81</v>
      </c>
      <c r="F205" s="22">
        <v>7.8529999999999998</v>
      </c>
      <c r="G205" s="1">
        <v>48500</v>
      </c>
      <c r="I205" s="24">
        <v>2.7</v>
      </c>
      <c r="J205" s="19">
        <v>0.33200000000000002</v>
      </c>
      <c r="K205" s="20">
        <v>2.68</v>
      </c>
      <c r="L205" s="17">
        <v>0.41610000000000003</v>
      </c>
      <c r="M205" s="17">
        <v>4</v>
      </c>
      <c r="N205" s="21">
        <v>224</v>
      </c>
      <c r="O205" s="17">
        <v>14.7</v>
      </c>
      <c r="P205" s="22">
        <v>7.8529999999999998</v>
      </c>
      <c r="Q205" s="23">
        <v>3.81</v>
      </c>
      <c r="R205" s="1">
        <v>48500</v>
      </c>
    </row>
    <row r="206" spans="1:18">
      <c r="A206" s="23">
        <v>2.88</v>
      </c>
      <c r="B206" s="17">
        <f t="shared" si="3"/>
        <v>50000</v>
      </c>
      <c r="C206" s="17">
        <v>50</v>
      </c>
      <c r="E206" s="23">
        <v>2.88</v>
      </c>
      <c r="F206" s="22">
        <v>8.0340000000000007</v>
      </c>
      <c r="G206" s="1">
        <v>50000</v>
      </c>
      <c r="I206" s="24">
        <v>9.07</v>
      </c>
      <c r="J206" s="19">
        <v>0.31900000000000001</v>
      </c>
      <c r="K206" s="20">
        <v>2.68</v>
      </c>
      <c r="L206" s="17">
        <v>0.41610000000000003</v>
      </c>
      <c r="M206" s="17">
        <v>4</v>
      </c>
      <c r="N206" s="21">
        <v>224</v>
      </c>
      <c r="O206" s="17">
        <v>14.7</v>
      </c>
      <c r="P206" s="22">
        <v>8.0340000000000007</v>
      </c>
      <c r="Q206" s="23">
        <v>2.88</v>
      </c>
      <c r="R206" s="1">
        <v>50000</v>
      </c>
    </row>
    <row r="207" spans="1:18">
      <c r="A207" s="23">
        <v>10.87</v>
      </c>
      <c r="B207" s="17">
        <f t="shared" si="3"/>
        <v>22600</v>
      </c>
      <c r="C207" s="17">
        <v>22.6</v>
      </c>
      <c r="E207" s="23">
        <v>10.87</v>
      </c>
      <c r="F207" s="22">
        <v>5.891</v>
      </c>
      <c r="G207" s="1">
        <v>22600</v>
      </c>
      <c r="I207" s="24">
        <v>8.52</v>
      </c>
      <c r="J207" s="19">
        <v>0.223</v>
      </c>
      <c r="K207" s="20">
        <v>10.59</v>
      </c>
      <c r="L207" s="17">
        <v>0.48899999999999999</v>
      </c>
      <c r="M207" s="17">
        <v>4</v>
      </c>
      <c r="N207" s="21">
        <v>277</v>
      </c>
      <c r="O207" s="17">
        <v>18.600000000000001</v>
      </c>
      <c r="P207" s="22">
        <v>5.891</v>
      </c>
      <c r="Q207" s="23">
        <v>10.87</v>
      </c>
      <c r="R207" s="1">
        <v>22600</v>
      </c>
    </row>
    <row r="208" spans="1:18">
      <c r="A208" s="23">
        <v>10.97</v>
      </c>
      <c r="B208" s="17">
        <f t="shared" si="3"/>
        <v>24400</v>
      </c>
      <c r="C208" s="17">
        <v>24.4</v>
      </c>
      <c r="E208" s="23">
        <v>10.97</v>
      </c>
      <c r="F208" s="22">
        <v>6.3259999999999996</v>
      </c>
      <c r="G208" s="1">
        <v>24400</v>
      </c>
      <c r="I208" s="24">
        <v>0.04</v>
      </c>
      <c r="J208" s="19">
        <v>0.52500000000000002</v>
      </c>
      <c r="K208" s="20">
        <v>10.59</v>
      </c>
      <c r="L208" s="17">
        <v>0.48899999999999999</v>
      </c>
      <c r="M208" s="17">
        <v>4</v>
      </c>
      <c r="N208" s="21">
        <v>277</v>
      </c>
      <c r="O208" s="17">
        <v>18.600000000000001</v>
      </c>
      <c r="P208" s="22">
        <v>6.3259999999999996</v>
      </c>
      <c r="Q208" s="23">
        <v>10.97</v>
      </c>
      <c r="R208" s="1">
        <v>24400</v>
      </c>
    </row>
    <row r="209" spans="1:18">
      <c r="A209" s="23">
        <v>18.059999999999999</v>
      </c>
      <c r="B209" s="17">
        <f t="shared" si="3"/>
        <v>22500</v>
      </c>
      <c r="C209" s="17">
        <v>22.5</v>
      </c>
      <c r="E209" s="23">
        <v>18.059999999999999</v>
      </c>
      <c r="F209" s="22">
        <v>5.7830000000000004</v>
      </c>
      <c r="G209" s="1">
        <v>22500</v>
      </c>
      <c r="I209" s="24">
        <v>4.63</v>
      </c>
      <c r="J209" s="19">
        <v>0.72700000000000009</v>
      </c>
      <c r="K209" s="20">
        <v>10.59</v>
      </c>
      <c r="L209" s="17">
        <v>0.48899999999999999</v>
      </c>
      <c r="M209" s="17">
        <v>4</v>
      </c>
      <c r="N209" s="21">
        <v>277</v>
      </c>
      <c r="O209" s="17">
        <v>18.600000000000001</v>
      </c>
      <c r="P209" s="22">
        <v>5.7830000000000004</v>
      </c>
      <c r="Q209" s="23">
        <v>18.059999999999999</v>
      </c>
      <c r="R209" s="1">
        <v>22500</v>
      </c>
    </row>
    <row r="210" spans="1:18">
      <c r="A210" s="23">
        <v>14.66</v>
      </c>
      <c r="B210" s="17">
        <f t="shared" si="3"/>
        <v>24400</v>
      </c>
      <c r="C210" s="17">
        <v>24.4</v>
      </c>
      <c r="E210" s="23">
        <v>14.66</v>
      </c>
      <c r="F210" s="22">
        <v>6.0640000000000001</v>
      </c>
      <c r="G210" s="1">
        <v>24400</v>
      </c>
      <c r="I210" s="24">
        <v>9.11</v>
      </c>
      <c r="J210" s="19">
        <v>0.59100000000000008</v>
      </c>
      <c r="K210" s="20">
        <v>10.59</v>
      </c>
      <c r="L210" s="17">
        <v>0.48899999999999999</v>
      </c>
      <c r="M210" s="17">
        <v>4</v>
      </c>
      <c r="N210" s="21">
        <v>277</v>
      </c>
      <c r="O210" s="17">
        <v>18.600000000000001</v>
      </c>
      <c r="P210" s="22">
        <v>6.0640000000000001</v>
      </c>
      <c r="Q210" s="23">
        <v>14.66</v>
      </c>
      <c r="R210" s="1">
        <v>24400</v>
      </c>
    </row>
    <row r="211" spans="1:18">
      <c r="A211" s="23">
        <v>23.09</v>
      </c>
      <c r="B211" s="17">
        <f t="shared" si="3"/>
        <v>20000</v>
      </c>
      <c r="C211" s="17">
        <v>20</v>
      </c>
      <c r="E211" s="23">
        <v>23.09</v>
      </c>
      <c r="F211" s="22">
        <v>5.3440000000000003</v>
      </c>
      <c r="G211" s="1">
        <v>20000</v>
      </c>
      <c r="I211" s="24">
        <v>9.02</v>
      </c>
      <c r="J211" s="19">
        <v>1</v>
      </c>
      <c r="K211" s="20">
        <v>10.59</v>
      </c>
      <c r="L211" s="17">
        <v>0.48899999999999999</v>
      </c>
      <c r="M211" s="17">
        <v>4</v>
      </c>
      <c r="N211" s="21">
        <v>277</v>
      </c>
      <c r="O211" s="17">
        <v>18.600000000000001</v>
      </c>
      <c r="P211" s="22">
        <v>5.3440000000000003</v>
      </c>
      <c r="Q211" s="23">
        <v>23.09</v>
      </c>
      <c r="R211" s="1">
        <v>20000</v>
      </c>
    </row>
    <row r="212" spans="1:18">
      <c r="A212" s="23">
        <v>17.27</v>
      </c>
      <c r="B212" s="17">
        <f t="shared" si="3"/>
        <v>21700</v>
      </c>
      <c r="C212" s="17">
        <v>21.7</v>
      </c>
      <c r="E212" s="23">
        <v>17.27</v>
      </c>
      <c r="F212" s="22">
        <v>5.96</v>
      </c>
      <c r="G212" s="1">
        <v>21700</v>
      </c>
      <c r="I212" s="24">
        <v>9.58</v>
      </c>
      <c r="J212" s="19">
        <v>0.92099999999999993</v>
      </c>
      <c r="K212" s="20">
        <v>10.59</v>
      </c>
      <c r="L212" s="17">
        <v>0.48899999999999999</v>
      </c>
      <c r="M212" s="17">
        <v>4</v>
      </c>
      <c r="N212" s="21">
        <v>277</v>
      </c>
      <c r="O212" s="17">
        <v>18.600000000000001</v>
      </c>
      <c r="P212" s="22">
        <v>5.96</v>
      </c>
      <c r="Q212" s="23">
        <v>17.27</v>
      </c>
      <c r="R212" s="1">
        <v>21700</v>
      </c>
    </row>
    <row r="213" spans="1:18">
      <c r="A213" s="23">
        <v>23.98</v>
      </c>
      <c r="B213" s="17">
        <f t="shared" si="3"/>
        <v>19300</v>
      </c>
      <c r="C213" s="17">
        <v>19.3</v>
      </c>
      <c r="E213" s="23">
        <v>23.98</v>
      </c>
      <c r="F213" s="22">
        <v>5.4039999999999999</v>
      </c>
      <c r="G213" s="1">
        <v>19300</v>
      </c>
      <c r="I213" s="24">
        <v>0.23</v>
      </c>
      <c r="J213" s="19">
        <v>0.88600000000000001</v>
      </c>
      <c r="K213" s="20">
        <v>10.59</v>
      </c>
      <c r="L213" s="17">
        <v>0.48899999999999999</v>
      </c>
      <c r="M213" s="17">
        <v>4</v>
      </c>
      <c r="N213" s="21">
        <v>277</v>
      </c>
      <c r="O213" s="17">
        <v>18.600000000000001</v>
      </c>
      <c r="P213" s="22">
        <v>5.4039999999999999</v>
      </c>
      <c r="Q213" s="23">
        <v>23.98</v>
      </c>
      <c r="R213" s="1">
        <v>19300</v>
      </c>
    </row>
    <row r="214" spans="1:18">
      <c r="A214" s="23">
        <v>16.03</v>
      </c>
      <c r="B214" s="17">
        <f t="shared" si="3"/>
        <v>22400</v>
      </c>
      <c r="C214" s="17">
        <v>22.4</v>
      </c>
      <c r="E214" s="23">
        <v>16.03</v>
      </c>
      <c r="F214" s="22">
        <v>5.8070000000000004</v>
      </c>
      <c r="G214" s="1">
        <v>22400</v>
      </c>
      <c r="I214" s="24">
        <v>9.31</v>
      </c>
      <c r="J214" s="19">
        <v>0.53800000000000003</v>
      </c>
      <c r="K214" s="20">
        <v>10.59</v>
      </c>
      <c r="L214" s="17">
        <v>0.48899999999999999</v>
      </c>
      <c r="M214" s="17">
        <v>4</v>
      </c>
      <c r="N214" s="21">
        <v>277</v>
      </c>
      <c r="O214" s="17">
        <v>18.600000000000001</v>
      </c>
      <c r="P214" s="22">
        <v>5.8070000000000004</v>
      </c>
      <c r="Q214" s="23">
        <v>16.03</v>
      </c>
      <c r="R214" s="1">
        <v>22400</v>
      </c>
    </row>
    <row r="215" spans="1:18">
      <c r="A215" s="23">
        <v>9.3800000000000008</v>
      </c>
      <c r="B215" s="17">
        <f t="shared" si="3"/>
        <v>28100</v>
      </c>
      <c r="C215" s="17">
        <v>28.1</v>
      </c>
      <c r="E215" s="23">
        <v>9.3800000000000008</v>
      </c>
      <c r="F215" s="22">
        <v>6.375</v>
      </c>
      <c r="G215" s="1">
        <v>28100</v>
      </c>
      <c r="I215" s="24">
        <v>4.21</v>
      </c>
      <c r="J215" s="19">
        <v>0.32299999999999995</v>
      </c>
      <c r="K215" s="20">
        <v>10.59</v>
      </c>
      <c r="L215" s="17">
        <v>0.48899999999999999</v>
      </c>
      <c r="M215" s="17">
        <v>4</v>
      </c>
      <c r="N215" s="21">
        <v>277</v>
      </c>
      <c r="O215" s="17">
        <v>18.600000000000001</v>
      </c>
      <c r="P215" s="22">
        <v>6.375</v>
      </c>
      <c r="Q215" s="23">
        <v>9.3800000000000008</v>
      </c>
      <c r="R215" s="1">
        <v>28100</v>
      </c>
    </row>
    <row r="216" spans="1:18">
      <c r="A216" s="23">
        <v>29.55</v>
      </c>
      <c r="B216" s="17">
        <f t="shared" si="3"/>
        <v>23700</v>
      </c>
      <c r="C216" s="17">
        <v>23.7</v>
      </c>
      <c r="E216" s="23">
        <v>29.55</v>
      </c>
      <c r="F216" s="22">
        <v>5.4119999999999999</v>
      </c>
      <c r="G216" s="1">
        <v>23700</v>
      </c>
      <c r="I216" s="24">
        <v>3.55</v>
      </c>
      <c r="J216" s="19">
        <v>9.8000000000000004E-2</v>
      </c>
      <c r="K216" s="20">
        <v>10.59</v>
      </c>
      <c r="L216" s="17">
        <v>0.48899999999999999</v>
      </c>
      <c r="M216" s="17">
        <v>4</v>
      </c>
      <c r="N216" s="21">
        <v>277</v>
      </c>
      <c r="O216" s="17">
        <v>18.600000000000001</v>
      </c>
      <c r="P216" s="22">
        <v>5.4119999999999999</v>
      </c>
      <c r="Q216" s="23">
        <v>29.55</v>
      </c>
      <c r="R216" s="1">
        <v>23700</v>
      </c>
    </row>
    <row r="217" spans="1:18">
      <c r="A217" s="23">
        <v>9.4700000000000006</v>
      </c>
      <c r="B217" s="17">
        <f t="shared" si="3"/>
        <v>25000</v>
      </c>
      <c r="C217" s="17">
        <v>25</v>
      </c>
      <c r="E217" s="23">
        <v>9.4700000000000006</v>
      </c>
      <c r="F217" s="22">
        <v>6.1820000000000004</v>
      </c>
      <c r="G217" s="1">
        <v>25000</v>
      </c>
      <c r="I217" s="24">
        <v>3.54</v>
      </c>
      <c r="J217" s="19">
        <v>0.42399999999999999</v>
      </c>
      <c r="K217" s="20">
        <v>10.59</v>
      </c>
      <c r="L217" s="17">
        <v>0.48899999999999999</v>
      </c>
      <c r="M217" s="17">
        <v>4</v>
      </c>
      <c r="N217" s="21">
        <v>277</v>
      </c>
      <c r="O217" s="17">
        <v>18.600000000000001</v>
      </c>
      <c r="P217" s="22">
        <v>6.1820000000000004</v>
      </c>
      <c r="Q217" s="23">
        <v>9.4700000000000006</v>
      </c>
      <c r="R217" s="1">
        <v>25000</v>
      </c>
    </row>
    <row r="218" spans="1:18">
      <c r="A218" s="23">
        <v>13.51</v>
      </c>
      <c r="B218" s="17">
        <f t="shared" si="3"/>
        <v>23300</v>
      </c>
      <c r="C218" s="17">
        <v>23.3</v>
      </c>
      <c r="E218" s="23">
        <v>13.51</v>
      </c>
      <c r="F218" s="22">
        <v>5.8879999999999999</v>
      </c>
      <c r="G218" s="1">
        <v>23300</v>
      </c>
      <c r="I218" s="24">
        <v>9.01</v>
      </c>
      <c r="J218" s="19">
        <v>0.56000000000000005</v>
      </c>
      <c r="K218" s="20">
        <v>13.89</v>
      </c>
      <c r="L218" s="17">
        <v>0.55000000000000004</v>
      </c>
      <c r="M218" s="17">
        <v>5</v>
      </c>
      <c r="N218" s="21">
        <v>276</v>
      </c>
      <c r="O218" s="17">
        <v>16.399999999999999</v>
      </c>
      <c r="P218" s="22">
        <v>5.8879999999999999</v>
      </c>
      <c r="Q218" s="23">
        <v>13.51</v>
      </c>
      <c r="R218" s="1">
        <v>23300</v>
      </c>
    </row>
    <row r="219" spans="1:18">
      <c r="A219" s="23">
        <v>9.69</v>
      </c>
      <c r="B219" s="17">
        <f t="shared" si="3"/>
        <v>28700</v>
      </c>
      <c r="C219" s="17">
        <v>28.7</v>
      </c>
      <c r="E219" s="23">
        <v>9.69</v>
      </c>
      <c r="F219" s="22">
        <v>6.6420000000000003</v>
      </c>
      <c r="G219" s="1">
        <v>28700</v>
      </c>
      <c r="I219" s="24">
        <v>7.67</v>
      </c>
      <c r="J219" s="19">
        <v>0.85099999999999998</v>
      </c>
      <c r="K219" s="20">
        <v>13.89</v>
      </c>
      <c r="L219" s="17">
        <v>0.55000000000000004</v>
      </c>
      <c r="M219" s="17">
        <v>5</v>
      </c>
      <c r="N219" s="21">
        <v>276</v>
      </c>
      <c r="O219" s="17">
        <v>16.399999999999999</v>
      </c>
      <c r="P219" s="22">
        <v>6.6420000000000003</v>
      </c>
      <c r="Q219" s="23">
        <v>9.69</v>
      </c>
      <c r="R219" s="1">
        <v>28700</v>
      </c>
    </row>
    <row r="220" spans="1:18">
      <c r="A220" s="23">
        <v>17.920000000000002</v>
      </c>
      <c r="B220" s="17">
        <f t="shared" si="3"/>
        <v>21500</v>
      </c>
      <c r="C220" s="17">
        <v>21.5</v>
      </c>
      <c r="E220" s="23">
        <v>17.920000000000002</v>
      </c>
      <c r="F220" s="22">
        <v>5.9509999999999996</v>
      </c>
      <c r="G220" s="1">
        <v>21500</v>
      </c>
      <c r="I220" s="24">
        <v>0.13</v>
      </c>
      <c r="J220" s="19">
        <v>0.93799999999999994</v>
      </c>
      <c r="K220" s="20">
        <v>13.89</v>
      </c>
      <c r="L220" s="17">
        <v>0.55000000000000004</v>
      </c>
      <c r="M220" s="17">
        <v>5</v>
      </c>
      <c r="N220" s="21">
        <v>276</v>
      </c>
      <c r="O220" s="17">
        <v>16.399999999999999</v>
      </c>
      <c r="P220" s="22">
        <v>5.9509999999999996</v>
      </c>
      <c r="Q220" s="23">
        <v>17.920000000000002</v>
      </c>
      <c r="R220" s="1">
        <v>21500</v>
      </c>
    </row>
    <row r="221" spans="1:18">
      <c r="A221" s="23">
        <v>10.5</v>
      </c>
      <c r="B221" s="17">
        <f t="shared" si="3"/>
        <v>23000</v>
      </c>
      <c r="C221" s="17">
        <v>23</v>
      </c>
      <c r="E221" s="23">
        <v>10.5</v>
      </c>
      <c r="F221" s="22">
        <v>6.3730000000000002</v>
      </c>
      <c r="G221" s="1">
        <v>23000</v>
      </c>
      <c r="I221" s="24">
        <v>4.49</v>
      </c>
      <c r="J221" s="19">
        <v>0.92400000000000004</v>
      </c>
      <c r="K221" s="20">
        <v>13.89</v>
      </c>
      <c r="L221" s="17">
        <v>0.55000000000000004</v>
      </c>
      <c r="M221" s="17">
        <v>5</v>
      </c>
      <c r="N221" s="21">
        <v>276</v>
      </c>
      <c r="O221" s="17">
        <v>16.399999999999999</v>
      </c>
      <c r="P221" s="22">
        <v>6.3730000000000002</v>
      </c>
      <c r="Q221" s="23">
        <v>10.5</v>
      </c>
      <c r="R221" s="1">
        <v>23000</v>
      </c>
    </row>
    <row r="222" spans="1:18">
      <c r="A222" s="23">
        <v>9.7100000000000009</v>
      </c>
      <c r="B222" s="17">
        <f t="shared" si="3"/>
        <v>26700</v>
      </c>
      <c r="C222" s="17">
        <v>26.7</v>
      </c>
      <c r="E222" s="23">
        <v>9.7100000000000009</v>
      </c>
      <c r="F222" s="22">
        <v>6.9509999999999996</v>
      </c>
      <c r="G222" s="1">
        <v>26700</v>
      </c>
      <c r="I222" s="24">
        <v>0.81</v>
      </c>
      <c r="J222" s="19">
        <v>0.88500000000000001</v>
      </c>
      <c r="K222" s="20">
        <v>6.2</v>
      </c>
      <c r="L222" s="17">
        <v>0.50700000000000001</v>
      </c>
      <c r="M222" s="17">
        <v>8</v>
      </c>
      <c r="N222" s="21">
        <v>307</v>
      </c>
      <c r="O222" s="17">
        <v>17.399999999999999</v>
      </c>
      <c r="P222" s="22">
        <v>6.9509999999999996</v>
      </c>
      <c r="Q222" s="23">
        <v>9.7100000000000009</v>
      </c>
      <c r="R222" s="1">
        <v>26700</v>
      </c>
    </row>
    <row r="223" spans="1:18">
      <c r="A223" s="23">
        <v>21.46</v>
      </c>
      <c r="B223" s="17">
        <f t="shared" si="3"/>
        <v>21700</v>
      </c>
      <c r="C223" s="17">
        <v>21.7</v>
      </c>
      <c r="E223" s="23">
        <v>21.46</v>
      </c>
      <c r="F223" s="22">
        <v>6.1639999999999997</v>
      </c>
      <c r="G223" s="1">
        <v>21700</v>
      </c>
      <c r="I223" s="24">
        <v>4.91</v>
      </c>
      <c r="J223" s="19">
        <v>0.91300000000000003</v>
      </c>
      <c r="K223" s="20">
        <v>6.2</v>
      </c>
      <c r="L223" s="17">
        <v>0.50700000000000001</v>
      </c>
      <c r="M223" s="17">
        <v>8</v>
      </c>
      <c r="N223" s="21">
        <v>307</v>
      </c>
      <c r="O223" s="17">
        <v>17.399999999999999</v>
      </c>
      <c r="P223" s="22">
        <v>6.1639999999999997</v>
      </c>
      <c r="Q223" s="23">
        <v>21.46</v>
      </c>
      <c r="R223" s="1">
        <v>21700</v>
      </c>
    </row>
    <row r="224" spans="1:18">
      <c r="A224" s="23">
        <v>9.93</v>
      </c>
      <c r="B224" s="17">
        <f t="shared" si="3"/>
        <v>27500</v>
      </c>
      <c r="C224" s="17">
        <v>27.5</v>
      </c>
      <c r="E224" s="23">
        <v>9.93</v>
      </c>
      <c r="F224" s="22">
        <v>6.8789999999999996</v>
      </c>
      <c r="G224" s="1">
        <v>27500</v>
      </c>
      <c r="I224" s="24">
        <v>9.68</v>
      </c>
      <c r="J224" s="19">
        <v>0.77700000000000002</v>
      </c>
      <c r="K224" s="20">
        <v>6.2</v>
      </c>
      <c r="L224" s="17">
        <v>0.50700000000000001</v>
      </c>
      <c r="M224" s="17">
        <v>8</v>
      </c>
      <c r="N224" s="21">
        <v>307</v>
      </c>
      <c r="O224" s="17">
        <v>17.399999999999999</v>
      </c>
      <c r="P224" s="22">
        <v>6.8789999999999996</v>
      </c>
      <c r="Q224" s="23">
        <v>9.93</v>
      </c>
      <c r="R224" s="1">
        <v>27500</v>
      </c>
    </row>
    <row r="225" spans="1:18">
      <c r="A225" s="23">
        <v>7.6</v>
      </c>
      <c r="B225" s="17">
        <f t="shared" si="3"/>
        <v>30100</v>
      </c>
      <c r="C225" s="17">
        <v>30.1</v>
      </c>
      <c r="E225" s="23">
        <v>7.6</v>
      </c>
      <c r="F225" s="22">
        <v>6.6180000000000003</v>
      </c>
      <c r="G225" s="1">
        <v>30100</v>
      </c>
      <c r="I225" s="24">
        <v>5.76</v>
      </c>
      <c r="J225" s="19">
        <v>0.80799999999999994</v>
      </c>
      <c r="K225" s="20">
        <v>6.2</v>
      </c>
      <c r="L225" s="17">
        <v>0.50700000000000001</v>
      </c>
      <c r="M225" s="17">
        <v>8</v>
      </c>
      <c r="N225" s="21">
        <v>307</v>
      </c>
      <c r="O225" s="17">
        <v>17.399999999999999</v>
      </c>
      <c r="P225" s="22">
        <v>6.6180000000000003</v>
      </c>
      <c r="Q225" s="23">
        <v>7.6</v>
      </c>
      <c r="R225" s="1">
        <v>30100</v>
      </c>
    </row>
    <row r="226" spans="1:18">
      <c r="A226" s="23">
        <v>4.1399999999999997</v>
      </c>
      <c r="B226" s="17">
        <f t="shared" si="3"/>
        <v>44800</v>
      </c>
      <c r="C226" s="17">
        <v>44.8</v>
      </c>
      <c r="E226" s="23">
        <v>4.1399999999999997</v>
      </c>
      <c r="F226" s="22">
        <v>8.266</v>
      </c>
      <c r="G226" s="1">
        <v>44800</v>
      </c>
      <c r="I226" s="24">
        <v>4.79</v>
      </c>
      <c r="J226" s="19">
        <v>0.78300000000000003</v>
      </c>
      <c r="K226" s="20">
        <v>6.2</v>
      </c>
      <c r="L226" s="17">
        <v>0.504</v>
      </c>
      <c r="M226" s="17">
        <v>8</v>
      </c>
      <c r="N226" s="21">
        <v>307</v>
      </c>
      <c r="O226" s="17">
        <v>17.399999999999999</v>
      </c>
      <c r="P226" s="22">
        <v>8.266</v>
      </c>
      <c r="Q226" s="23">
        <v>4.1399999999999997</v>
      </c>
      <c r="R226" s="1">
        <v>44800</v>
      </c>
    </row>
    <row r="227" spans="1:18">
      <c r="A227" s="23">
        <v>4.63</v>
      </c>
      <c r="B227" s="17">
        <f t="shared" si="3"/>
        <v>50000</v>
      </c>
      <c r="C227" s="17">
        <v>50</v>
      </c>
      <c r="E227" s="23">
        <v>4.63</v>
      </c>
      <c r="F227" s="22">
        <v>8.7249999999999996</v>
      </c>
      <c r="G227" s="1">
        <v>50000</v>
      </c>
      <c r="I227" s="24">
        <v>0.55000000000000004</v>
      </c>
      <c r="J227" s="19">
        <v>0.83000000000000007</v>
      </c>
      <c r="K227" s="20">
        <v>6.2</v>
      </c>
      <c r="L227" s="17">
        <v>0.504</v>
      </c>
      <c r="M227" s="17">
        <v>8</v>
      </c>
      <c r="N227" s="21">
        <v>307</v>
      </c>
      <c r="O227" s="17">
        <v>17.399999999999999</v>
      </c>
      <c r="P227" s="22">
        <v>8.7249999999999996</v>
      </c>
      <c r="Q227" s="23">
        <v>4.63</v>
      </c>
      <c r="R227" s="1">
        <v>50000</v>
      </c>
    </row>
    <row r="228" spans="1:18">
      <c r="A228" s="23">
        <v>3.13</v>
      </c>
      <c r="B228" s="17">
        <f t="shared" si="3"/>
        <v>37600</v>
      </c>
      <c r="C228" s="17">
        <v>37.6</v>
      </c>
      <c r="E228" s="23">
        <v>3.13</v>
      </c>
      <c r="F228" s="22">
        <v>8.0399999999999991</v>
      </c>
      <c r="G228" s="1">
        <v>37600</v>
      </c>
      <c r="I228" s="24">
        <v>4.0599999999999996</v>
      </c>
      <c r="J228" s="19">
        <v>0.86499999999999999</v>
      </c>
      <c r="K228" s="20">
        <v>6.2</v>
      </c>
      <c r="L228" s="17">
        <v>0.504</v>
      </c>
      <c r="M228" s="17">
        <v>8</v>
      </c>
      <c r="N228" s="21">
        <v>307</v>
      </c>
      <c r="O228" s="17">
        <v>17.399999999999999</v>
      </c>
      <c r="P228" s="22">
        <v>8.0399999999999991</v>
      </c>
      <c r="Q228" s="23">
        <v>3.13</v>
      </c>
      <c r="R228" s="1">
        <v>37600</v>
      </c>
    </row>
    <row r="229" spans="1:18">
      <c r="A229" s="23">
        <v>6.36</v>
      </c>
      <c r="B229" s="17">
        <f t="shared" si="3"/>
        <v>31600</v>
      </c>
      <c r="C229" s="17">
        <v>31.6</v>
      </c>
      <c r="E229" s="23">
        <v>6.36</v>
      </c>
      <c r="F229" s="22">
        <v>7.1630000000000003</v>
      </c>
      <c r="G229" s="1">
        <v>31600</v>
      </c>
      <c r="I229" s="24">
        <v>4.45</v>
      </c>
      <c r="J229" s="19">
        <v>0.79900000000000004</v>
      </c>
      <c r="K229" s="20">
        <v>6.2</v>
      </c>
      <c r="L229" s="17">
        <v>0.504</v>
      </c>
      <c r="M229" s="17">
        <v>8</v>
      </c>
      <c r="N229" s="21">
        <v>307</v>
      </c>
      <c r="O229" s="17">
        <v>17.399999999999999</v>
      </c>
      <c r="P229" s="22">
        <v>7.1630000000000003</v>
      </c>
      <c r="Q229" s="23">
        <v>6.36</v>
      </c>
      <c r="R229" s="1">
        <v>31600</v>
      </c>
    </row>
    <row r="230" spans="1:18">
      <c r="A230" s="23">
        <v>3.92</v>
      </c>
      <c r="B230" s="17">
        <f t="shared" si="3"/>
        <v>46700</v>
      </c>
      <c r="C230" s="17">
        <v>46.7</v>
      </c>
      <c r="E230" s="23">
        <v>3.92</v>
      </c>
      <c r="F230" s="22">
        <v>7.6859999999999999</v>
      </c>
      <c r="G230" s="1">
        <v>46700</v>
      </c>
      <c r="I230" s="24">
        <v>2.25</v>
      </c>
      <c r="J230" s="19">
        <v>0.17</v>
      </c>
      <c r="K230" s="20">
        <v>6.2</v>
      </c>
      <c r="L230" s="17">
        <v>0.504</v>
      </c>
      <c r="M230" s="17">
        <v>8</v>
      </c>
      <c r="N230" s="21">
        <v>307</v>
      </c>
      <c r="O230" s="17">
        <v>17.399999999999999</v>
      </c>
      <c r="P230" s="22">
        <v>7.6859999999999999</v>
      </c>
      <c r="Q230" s="23">
        <v>3.92</v>
      </c>
      <c r="R230" s="1">
        <v>46700</v>
      </c>
    </row>
    <row r="231" spans="1:18">
      <c r="A231" s="23">
        <v>3.76</v>
      </c>
      <c r="B231" s="17">
        <f t="shared" si="3"/>
        <v>31500</v>
      </c>
      <c r="C231" s="17">
        <v>31.5</v>
      </c>
      <c r="E231" s="23">
        <v>3.76</v>
      </c>
      <c r="F231" s="22">
        <v>6.5519999999999996</v>
      </c>
      <c r="G231" s="1">
        <v>31500</v>
      </c>
      <c r="I231" s="24">
        <v>6.63</v>
      </c>
      <c r="J231" s="19">
        <v>0.214</v>
      </c>
      <c r="K231" s="20">
        <v>6.2</v>
      </c>
      <c r="L231" s="17">
        <v>0.504</v>
      </c>
      <c r="M231" s="17">
        <v>8</v>
      </c>
      <c r="N231" s="21">
        <v>307</v>
      </c>
      <c r="O231" s="17">
        <v>17.399999999999999</v>
      </c>
      <c r="P231" s="22">
        <v>6.5519999999999996</v>
      </c>
      <c r="Q231" s="23">
        <v>3.76</v>
      </c>
      <c r="R231" s="1">
        <v>31500</v>
      </c>
    </row>
    <row r="232" spans="1:18">
      <c r="A232" s="23">
        <v>11.65</v>
      </c>
      <c r="B232" s="17">
        <f t="shared" si="3"/>
        <v>24300</v>
      </c>
      <c r="C232" s="17">
        <v>24.3</v>
      </c>
      <c r="E232" s="23">
        <v>11.65</v>
      </c>
      <c r="F232" s="22">
        <v>5.9809999999999999</v>
      </c>
      <c r="G232" s="1">
        <v>24300</v>
      </c>
      <c r="I232" s="24">
        <v>9.32</v>
      </c>
      <c r="J232" s="19">
        <v>0.68099999999999994</v>
      </c>
      <c r="K232" s="20">
        <v>6.2</v>
      </c>
      <c r="L232" s="17">
        <v>0.504</v>
      </c>
      <c r="M232" s="17">
        <v>8</v>
      </c>
      <c r="N232" s="21">
        <v>307</v>
      </c>
      <c r="O232" s="17">
        <v>17.399999999999999</v>
      </c>
      <c r="P232" s="22">
        <v>5.9809999999999999</v>
      </c>
      <c r="Q232" s="23">
        <v>11.65</v>
      </c>
      <c r="R232" s="1">
        <v>24300</v>
      </c>
    </row>
    <row r="233" spans="1:18">
      <c r="A233" s="23">
        <v>5.25</v>
      </c>
      <c r="B233" s="17">
        <f t="shared" si="3"/>
        <v>31700</v>
      </c>
      <c r="C233" s="17">
        <v>31.7</v>
      </c>
      <c r="E233" s="23">
        <v>5.25</v>
      </c>
      <c r="F233" s="22">
        <v>7.4119999999999999</v>
      </c>
      <c r="G233" s="1">
        <v>31700</v>
      </c>
      <c r="I233" s="24">
        <v>5.01</v>
      </c>
      <c r="J233" s="19">
        <v>0.76900000000000013</v>
      </c>
      <c r="K233" s="20">
        <v>6.2</v>
      </c>
      <c r="L233" s="17">
        <v>0.504</v>
      </c>
      <c r="M233" s="17">
        <v>8</v>
      </c>
      <c r="N233" s="21">
        <v>307</v>
      </c>
      <c r="O233" s="17">
        <v>17.399999999999999</v>
      </c>
      <c r="P233" s="22">
        <v>7.4119999999999999</v>
      </c>
      <c r="Q233" s="23">
        <v>5.25</v>
      </c>
      <c r="R233" s="1">
        <v>31700</v>
      </c>
    </row>
    <row r="234" spans="1:18">
      <c r="A234" s="23">
        <v>2.4700000000000002</v>
      </c>
      <c r="B234" s="17">
        <f t="shared" si="3"/>
        <v>41700</v>
      </c>
      <c r="C234" s="17">
        <v>41.7</v>
      </c>
      <c r="E234" s="23">
        <v>2.4700000000000002</v>
      </c>
      <c r="F234" s="22">
        <v>8.3369999999999997</v>
      </c>
      <c r="G234" s="1">
        <v>41700</v>
      </c>
      <c r="I234" s="24">
        <v>7.47</v>
      </c>
      <c r="J234" s="19">
        <v>0.73299999999999998</v>
      </c>
      <c r="K234" s="20">
        <v>6.2</v>
      </c>
      <c r="L234" s="17">
        <v>0.50700000000000001</v>
      </c>
      <c r="M234" s="17">
        <v>8</v>
      </c>
      <c r="N234" s="21">
        <v>307</v>
      </c>
      <c r="O234" s="17">
        <v>17.399999999999999</v>
      </c>
      <c r="P234" s="22">
        <v>8.3369999999999997</v>
      </c>
      <c r="Q234" s="23">
        <v>2.4700000000000002</v>
      </c>
      <c r="R234" s="1">
        <v>41700</v>
      </c>
    </row>
    <row r="235" spans="1:18">
      <c r="A235" s="23">
        <v>3.95</v>
      </c>
      <c r="B235" s="17">
        <f t="shared" si="3"/>
        <v>48300</v>
      </c>
      <c r="C235" s="17">
        <v>48.3</v>
      </c>
      <c r="E235" s="23">
        <v>3.95</v>
      </c>
      <c r="F235" s="22">
        <v>8.2469999999999999</v>
      </c>
      <c r="G235" s="1">
        <v>48300</v>
      </c>
      <c r="I235" s="24">
        <v>4.7300000000000004</v>
      </c>
      <c r="J235" s="19">
        <v>0.70400000000000007</v>
      </c>
      <c r="K235" s="20">
        <v>6.2</v>
      </c>
      <c r="L235" s="17">
        <v>0.50700000000000001</v>
      </c>
      <c r="M235" s="17">
        <v>8</v>
      </c>
      <c r="N235" s="21">
        <v>307</v>
      </c>
      <c r="O235" s="17">
        <v>17.399999999999999</v>
      </c>
      <c r="P235" s="22">
        <v>8.2469999999999999</v>
      </c>
      <c r="Q235" s="23">
        <v>3.95</v>
      </c>
      <c r="R235" s="1">
        <v>48300</v>
      </c>
    </row>
    <row r="236" spans="1:18">
      <c r="A236" s="23">
        <v>8.0500000000000007</v>
      </c>
      <c r="B236" s="17">
        <f t="shared" si="3"/>
        <v>29000</v>
      </c>
      <c r="C236" s="17">
        <v>29</v>
      </c>
      <c r="E236" s="23">
        <v>8.0500000000000007</v>
      </c>
      <c r="F236" s="22">
        <v>6.726</v>
      </c>
      <c r="G236" s="1">
        <v>29000</v>
      </c>
      <c r="I236" s="24">
        <v>2.0499999999999998</v>
      </c>
      <c r="J236" s="19">
        <v>0.66500000000000004</v>
      </c>
      <c r="K236" s="20">
        <v>6.2</v>
      </c>
      <c r="L236" s="17">
        <v>0.50700000000000001</v>
      </c>
      <c r="M236" s="17">
        <v>8</v>
      </c>
      <c r="N236" s="21">
        <v>307</v>
      </c>
      <c r="O236" s="17">
        <v>17.399999999999999</v>
      </c>
      <c r="P236" s="22">
        <v>6.726</v>
      </c>
      <c r="Q236" s="23">
        <v>8.0500000000000007</v>
      </c>
      <c r="R236" s="1">
        <v>29000</v>
      </c>
    </row>
    <row r="237" spans="1:18">
      <c r="A237" s="23">
        <v>10.88</v>
      </c>
      <c r="B237" s="17">
        <f t="shared" si="3"/>
        <v>24000</v>
      </c>
      <c r="C237" s="17">
        <v>24</v>
      </c>
      <c r="E237" s="23">
        <v>10.88</v>
      </c>
      <c r="F237" s="22">
        <v>6.0860000000000003</v>
      </c>
      <c r="G237" s="1">
        <v>24000</v>
      </c>
      <c r="I237" s="24">
        <v>7.65</v>
      </c>
      <c r="J237" s="19">
        <v>0.61499999999999999</v>
      </c>
      <c r="K237" s="20">
        <v>6.2</v>
      </c>
      <c r="L237" s="17">
        <v>0.50700000000000001</v>
      </c>
      <c r="M237" s="17">
        <v>8</v>
      </c>
      <c r="N237" s="21">
        <v>307</v>
      </c>
      <c r="O237" s="17">
        <v>17.399999999999999</v>
      </c>
      <c r="P237" s="22">
        <v>6.0860000000000003</v>
      </c>
      <c r="Q237" s="23">
        <v>10.88</v>
      </c>
      <c r="R237" s="1">
        <v>24000</v>
      </c>
    </row>
    <row r="238" spans="1:18">
      <c r="A238" s="23">
        <v>9.5399999999999991</v>
      </c>
      <c r="B238" s="17">
        <f t="shared" si="3"/>
        <v>25100</v>
      </c>
      <c r="C238" s="17">
        <v>25.1</v>
      </c>
      <c r="E238" s="23">
        <v>9.5399999999999991</v>
      </c>
      <c r="F238" s="22">
        <v>6.6310000000000002</v>
      </c>
      <c r="G238" s="1">
        <v>25100</v>
      </c>
      <c r="I238" s="24">
        <v>6.74</v>
      </c>
      <c r="J238" s="19">
        <v>0.76500000000000001</v>
      </c>
      <c r="K238" s="20">
        <v>6.2</v>
      </c>
      <c r="L238" s="17">
        <v>0.50700000000000001</v>
      </c>
      <c r="M238" s="17">
        <v>8</v>
      </c>
      <c r="N238" s="21">
        <v>307</v>
      </c>
      <c r="O238" s="17">
        <v>17.399999999999999</v>
      </c>
      <c r="P238" s="22">
        <v>6.6310000000000002</v>
      </c>
      <c r="Q238" s="23">
        <v>9.5399999999999991</v>
      </c>
      <c r="R238" s="1">
        <v>25100</v>
      </c>
    </row>
    <row r="239" spans="1:18">
      <c r="A239" s="23">
        <v>4.7300000000000004</v>
      </c>
      <c r="B239" s="17">
        <f t="shared" si="3"/>
        <v>31500</v>
      </c>
      <c r="C239" s="17">
        <v>31.5</v>
      </c>
      <c r="E239" s="23">
        <v>4.7300000000000004</v>
      </c>
      <c r="F239" s="22">
        <v>7.3579999999999997</v>
      </c>
      <c r="G239" s="1">
        <v>31500</v>
      </c>
      <c r="I239" s="24">
        <v>7.28</v>
      </c>
      <c r="J239" s="19">
        <v>0.71599999999999997</v>
      </c>
      <c r="K239" s="20">
        <v>6.2</v>
      </c>
      <c r="L239" s="17">
        <v>0.50700000000000001</v>
      </c>
      <c r="M239" s="17">
        <v>8</v>
      </c>
      <c r="N239" s="21">
        <v>307</v>
      </c>
      <c r="O239" s="17">
        <v>17.399999999999999</v>
      </c>
      <c r="P239" s="22">
        <v>7.3579999999999997</v>
      </c>
      <c r="Q239" s="23">
        <v>4.7300000000000004</v>
      </c>
      <c r="R239" s="1">
        <v>31500</v>
      </c>
    </row>
    <row r="240" spans="1:18">
      <c r="A240" s="23">
        <v>6.36</v>
      </c>
      <c r="B240" s="17">
        <f t="shared" si="3"/>
        <v>23700</v>
      </c>
      <c r="C240" s="17">
        <v>23.7</v>
      </c>
      <c r="E240" s="23">
        <v>6.36</v>
      </c>
      <c r="F240" s="22">
        <v>6.4809999999999999</v>
      </c>
      <c r="G240" s="1">
        <v>23700</v>
      </c>
      <c r="I240" s="24">
        <v>6.13</v>
      </c>
      <c r="J240" s="19">
        <v>0.185</v>
      </c>
      <c r="K240" s="20">
        <v>4.93</v>
      </c>
      <c r="L240" s="17">
        <v>0.42799999999999999</v>
      </c>
      <c r="M240" s="17">
        <v>6</v>
      </c>
      <c r="N240" s="21">
        <v>300</v>
      </c>
      <c r="O240" s="17">
        <v>16.600000000000001</v>
      </c>
      <c r="P240" s="22">
        <v>6.4809999999999999</v>
      </c>
      <c r="Q240" s="23">
        <v>6.36</v>
      </c>
      <c r="R240" s="1">
        <v>23700</v>
      </c>
    </row>
    <row r="241" spans="1:18">
      <c r="A241" s="23">
        <v>7.37</v>
      </c>
      <c r="B241" s="17">
        <f t="shared" si="3"/>
        <v>23300</v>
      </c>
      <c r="C241" s="17">
        <v>23.3</v>
      </c>
      <c r="E241" s="23">
        <v>7.37</v>
      </c>
      <c r="F241" s="22">
        <v>6.6059999999999999</v>
      </c>
      <c r="G241" s="1">
        <v>23300</v>
      </c>
      <c r="I241" s="24">
        <v>2.58</v>
      </c>
      <c r="J241" s="19">
        <v>0.42200000000000004</v>
      </c>
      <c r="K241" s="20">
        <v>4.93</v>
      </c>
      <c r="L241" s="17">
        <v>0.42799999999999999</v>
      </c>
      <c r="M241" s="17">
        <v>6</v>
      </c>
      <c r="N241" s="21">
        <v>300</v>
      </c>
      <c r="O241" s="17">
        <v>16.600000000000001</v>
      </c>
      <c r="P241" s="22">
        <v>6.6059999999999999</v>
      </c>
      <c r="Q241" s="23">
        <v>7.37</v>
      </c>
      <c r="R241" s="1">
        <v>23300</v>
      </c>
    </row>
    <row r="242" spans="1:18">
      <c r="A242" s="23">
        <v>11.38</v>
      </c>
      <c r="B242" s="17">
        <f t="shared" si="3"/>
        <v>22000</v>
      </c>
      <c r="C242" s="17">
        <v>22</v>
      </c>
      <c r="E242" s="23">
        <v>11.38</v>
      </c>
      <c r="F242" s="22">
        <v>6.8970000000000002</v>
      </c>
      <c r="G242" s="1">
        <v>22000</v>
      </c>
      <c r="I242" s="24">
        <v>6.93</v>
      </c>
      <c r="J242" s="19">
        <v>0.54300000000000004</v>
      </c>
      <c r="K242" s="20">
        <v>4.93</v>
      </c>
      <c r="L242" s="17">
        <v>0.42799999999999999</v>
      </c>
      <c r="M242" s="17">
        <v>6</v>
      </c>
      <c r="N242" s="21">
        <v>300</v>
      </c>
      <c r="O242" s="17">
        <v>16.600000000000001</v>
      </c>
      <c r="P242" s="22">
        <v>6.8970000000000002</v>
      </c>
      <c r="Q242" s="23">
        <v>11.38</v>
      </c>
      <c r="R242" s="1">
        <v>22000</v>
      </c>
    </row>
    <row r="243" spans="1:18">
      <c r="A243" s="23">
        <v>12.4</v>
      </c>
      <c r="B243" s="17">
        <f t="shared" si="3"/>
        <v>20100</v>
      </c>
      <c r="C243" s="17">
        <v>20.100000000000001</v>
      </c>
      <c r="E243" s="23">
        <v>12.4</v>
      </c>
      <c r="F243" s="22">
        <v>6.0949999999999998</v>
      </c>
      <c r="G243" s="1">
        <v>20100</v>
      </c>
      <c r="I243" s="24">
        <v>7.25</v>
      </c>
      <c r="J243" s="19">
        <v>0.65099999999999991</v>
      </c>
      <c r="K243" s="20">
        <v>4.93</v>
      </c>
      <c r="L243" s="17">
        <v>0.42799999999999999</v>
      </c>
      <c r="M243" s="17">
        <v>6</v>
      </c>
      <c r="N243" s="21">
        <v>300</v>
      </c>
      <c r="O243" s="17">
        <v>16.600000000000001</v>
      </c>
      <c r="P243" s="22">
        <v>6.0949999999999998</v>
      </c>
      <c r="Q243" s="23">
        <v>12.4</v>
      </c>
      <c r="R243" s="1">
        <v>20100</v>
      </c>
    </row>
    <row r="244" spans="1:18">
      <c r="A244" s="23">
        <v>11.22</v>
      </c>
      <c r="B244" s="17">
        <f t="shared" si="3"/>
        <v>22200</v>
      </c>
      <c r="C244" s="17">
        <v>22.2</v>
      </c>
      <c r="E244" s="23">
        <v>11.22</v>
      </c>
      <c r="F244" s="22">
        <v>6.3579999999999997</v>
      </c>
      <c r="G244" s="1">
        <v>22200</v>
      </c>
      <c r="I244" s="24">
        <v>4.3499999999999996</v>
      </c>
      <c r="J244" s="19">
        <v>0.52900000000000003</v>
      </c>
      <c r="K244" s="20">
        <v>4.93</v>
      </c>
      <c r="L244" s="17">
        <v>0.42799999999999999</v>
      </c>
      <c r="M244" s="17">
        <v>6</v>
      </c>
      <c r="N244" s="21">
        <v>300</v>
      </c>
      <c r="O244" s="17">
        <v>16.600000000000001</v>
      </c>
      <c r="P244" s="22">
        <v>6.3579999999999997</v>
      </c>
      <c r="Q244" s="23">
        <v>11.22</v>
      </c>
      <c r="R244" s="1">
        <v>22200</v>
      </c>
    </row>
    <row r="245" spans="1:18">
      <c r="A245" s="23">
        <v>5.19</v>
      </c>
      <c r="B245" s="17">
        <f t="shared" si="3"/>
        <v>23700</v>
      </c>
      <c r="C245" s="17">
        <v>23.7</v>
      </c>
      <c r="E245" s="23">
        <v>5.19</v>
      </c>
      <c r="F245" s="22">
        <v>6.3929999999999998</v>
      </c>
      <c r="G245" s="1">
        <v>23700</v>
      </c>
      <c r="I245" s="24">
        <v>5.26</v>
      </c>
      <c r="J245" s="19">
        <v>7.8E-2</v>
      </c>
      <c r="K245" s="20">
        <v>4.93</v>
      </c>
      <c r="L245" s="17">
        <v>0.42799999999999999</v>
      </c>
      <c r="M245" s="17">
        <v>6</v>
      </c>
      <c r="N245" s="21">
        <v>300</v>
      </c>
      <c r="O245" s="17">
        <v>16.600000000000001</v>
      </c>
      <c r="P245" s="22">
        <v>6.3929999999999998</v>
      </c>
      <c r="Q245" s="23">
        <v>5.19</v>
      </c>
      <c r="R245" s="1">
        <v>23700</v>
      </c>
    </row>
    <row r="246" spans="1:18">
      <c r="A246" s="23">
        <v>12.5</v>
      </c>
      <c r="B246" s="17">
        <f t="shared" si="3"/>
        <v>17600</v>
      </c>
      <c r="C246" s="17">
        <v>17.600000000000001</v>
      </c>
      <c r="E246" s="23">
        <v>12.5</v>
      </c>
      <c r="F246" s="22">
        <v>5.593</v>
      </c>
      <c r="G246" s="1">
        <v>17600</v>
      </c>
      <c r="I246" s="24">
        <v>3.64</v>
      </c>
      <c r="J246" s="19">
        <v>0.76500000000000001</v>
      </c>
      <c r="K246" s="20">
        <v>5.86</v>
      </c>
      <c r="L246" s="17">
        <v>0.43099999999999999</v>
      </c>
      <c r="M246" s="17">
        <v>7</v>
      </c>
      <c r="N246" s="21">
        <v>330</v>
      </c>
      <c r="O246" s="17">
        <v>19.100000000000001</v>
      </c>
      <c r="P246" s="22">
        <v>5.593</v>
      </c>
      <c r="Q246" s="23">
        <v>12.5</v>
      </c>
      <c r="R246" s="1">
        <v>17600</v>
      </c>
    </row>
    <row r="247" spans="1:18">
      <c r="A247" s="23">
        <v>18.46</v>
      </c>
      <c r="B247" s="17">
        <f t="shared" si="3"/>
        <v>18500</v>
      </c>
      <c r="C247" s="17">
        <v>18.5</v>
      </c>
      <c r="E247" s="23">
        <v>18.46</v>
      </c>
      <c r="F247" s="22">
        <v>5.6050000000000004</v>
      </c>
      <c r="G247" s="1">
        <v>18500</v>
      </c>
      <c r="I247" s="24">
        <v>5.47</v>
      </c>
      <c r="J247" s="19">
        <v>0.70200000000000007</v>
      </c>
      <c r="K247" s="20">
        <v>5.86</v>
      </c>
      <c r="L247" s="17">
        <v>0.43099999999999999</v>
      </c>
      <c r="M247" s="17">
        <v>7</v>
      </c>
      <c r="N247" s="21">
        <v>330</v>
      </c>
      <c r="O247" s="17">
        <v>19.100000000000001</v>
      </c>
      <c r="P247" s="22">
        <v>5.6050000000000004</v>
      </c>
      <c r="Q247" s="23">
        <v>18.46</v>
      </c>
      <c r="R247" s="1">
        <v>18500</v>
      </c>
    </row>
    <row r="248" spans="1:18">
      <c r="A248" s="23">
        <v>9.16</v>
      </c>
      <c r="B248" s="17">
        <f t="shared" si="3"/>
        <v>24300</v>
      </c>
      <c r="C248" s="17">
        <v>24.3</v>
      </c>
      <c r="E248" s="23">
        <v>9.16</v>
      </c>
      <c r="F248" s="22">
        <v>6.1079999999999997</v>
      </c>
      <c r="G248" s="1">
        <v>24300</v>
      </c>
      <c r="I248" s="24">
        <v>4.29</v>
      </c>
      <c r="J248" s="19">
        <v>0.34899999999999998</v>
      </c>
      <c r="K248" s="20">
        <v>5.86</v>
      </c>
      <c r="L248" s="17">
        <v>0.43099999999999999</v>
      </c>
      <c r="M248" s="17">
        <v>7</v>
      </c>
      <c r="N248" s="21">
        <v>330</v>
      </c>
      <c r="O248" s="17">
        <v>19.100000000000001</v>
      </c>
      <c r="P248" s="22">
        <v>6.1079999999999997</v>
      </c>
      <c r="Q248" s="23">
        <v>9.16</v>
      </c>
      <c r="R248" s="1">
        <v>24300</v>
      </c>
    </row>
    <row r="249" spans="1:18">
      <c r="A249" s="23">
        <v>10.15</v>
      </c>
      <c r="B249" s="17">
        <f t="shared" si="3"/>
        <v>20500</v>
      </c>
      <c r="C249" s="17">
        <v>20.5</v>
      </c>
      <c r="E249" s="23">
        <v>10.15</v>
      </c>
      <c r="F249" s="22">
        <v>6.226</v>
      </c>
      <c r="G249" s="1">
        <v>20500</v>
      </c>
      <c r="I249" s="24">
        <v>2.48</v>
      </c>
      <c r="J249" s="19">
        <v>0.79200000000000004</v>
      </c>
      <c r="K249" s="20">
        <v>5.86</v>
      </c>
      <c r="L249" s="17">
        <v>0.43099999999999999</v>
      </c>
      <c r="M249" s="17">
        <v>7</v>
      </c>
      <c r="N249" s="21">
        <v>330</v>
      </c>
      <c r="O249" s="17">
        <v>19.100000000000001</v>
      </c>
      <c r="P249" s="22">
        <v>6.226</v>
      </c>
      <c r="Q249" s="23">
        <v>10.15</v>
      </c>
      <c r="R249" s="1">
        <v>20500</v>
      </c>
    </row>
    <row r="250" spans="1:18">
      <c r="A250" s="23">
        <v>9.52</v>
      </c>
      <c r="B250" s="17">
        <f t="shared" si="3"/>
        <v>24500</v>
      </c>
      <c r="C250" s="17">
        <v>24.5</v>
      </c>
      <c r="E250" s="23">
        <v>9.52</v>
      </c>
      <c r="F250" s="22">
        <v>6.4329999999999998</v>
      </c>
      <c r="G250" s="1">
        <v>24500</v>
      </c>
      <c r="I250" s="24">
        <v>0.69</v>
      </c>
      <c r="J250" s="19">
        <v>0.49100000000000005</v>
      </c>
      <c r="K250" s="20">
        <v>5.86</v>
      </c>
      <c r="L250" s="17">
        <v>0.43099999999999999</v>
      </c>
      <c r="M250" s="17">
        <v>7</v>
      </c>
      <c r="N250" s="21">
        <v>330</v>
      </c>
      <c r="O250" s="17">
        <v>19.100000000000001</v>
      </c>
      <c r="P250" s="22">
        <v>6.4329999999999998</v>
      </c>
      <c r="Q250" s="23">
        <v>9.52</v>
      </c>
      <c r="R250" s="1">
        <v>24500</v>
      </c>
    </row>
    <row r="251" spans="1:18">
      <c r="A251" s="23">
        <v>6.56</v>
      </c>
      <c r="B251" s="17">
        <f t="shared" si="3"/>
        <v>26200</v>
      </c>
      <c r="C251" s="17">
        <v>26.2</v>
      </c>
      <c r="E251" s="23">
        <v>6.56</v>
      </c>
      <c r="F251" s="22">
        <v>6.718</v>
      </c>
      <c r="G251" s="1">
        <v>26200</v>
      </c>
      <c r="I251" s="24">
        <v>2.88</v>
      </c>
      <c r="J251" s="19">
        <v>0.17500000000000002</v>
      </c>
      <c r="K251" s="20">
        <v>5.86</v>
      </c>
      <c r="L251" s="17">
        <v>0.43099999999999999</v>
      </c>
      <c r="M251" s="17">
        <v>7</v>
      </c>
      <c r="N251" s="21">
        <v>330</v>
      </c>
      <c r="O251" s="17">
        <v>19.100000000000001</v>
      </c>
      <c r="P251" s="22">
        <v>6.718</v>
      </c>
      <c r="Q251" s="23">
        <v>6.56</v>
      </c>
      <c r="R251" s="1">
        <v>26200</v>
      </c>
    </row>
    <row r="252" spans="1:18">
      <c r="A252" s="23">
        <v>5.9</v>
      </c>
      <c r="B252" s="17">
        <f t="shared" si="3"/>
        <v>24400</v>
      </c>
      <c r="C252" s="17">
        <v>24.4</v>
      </c>
      <c r="E252" s="23">
        <v>5.9</v>
      </c>
      <c r="F252" s="22">
        <v>6.4870000000000001</v>
      </c>
      <c r="G252" s="1">
        <v>24400</v>
      </c>
      <c r="I252" s="24">
        <v>9.07</v>
      </c>
      <c r="J252" s="19">
        <v>0.13</v>
      </c>
      <c r="K252" s="20">
        <v>5.86</v>
      </c>
      <c r="L252" s="17">
        <v>0.43099999999999999</v>
      </c>
      <c r="M252" s="17">
        <v>7</v>
      </c>
      <c r="N252" s="21">
        <v>330</v>
      </c>
      <c r="O252" s="17">
        <v>19.100000000000001</v>
      </c>
      <c r="P252" s="22">
        <v>6.4870000000000001</v>
      </c>
      <c r="Q252" s="23">
        <v>5.9</v>
      </c>
      <c r="R252" s="1">
        <v>24400</v>
      </c>
    </row>
    <row r="253" spans="1:18">
      <c r="A253" s="23">
        <v>3.59</v>
      </c>
      <c r="B253" s="17">
        <f t="shared" si="3"/>
        <v>24800</v>
      </c>
      <c r="C253" s="17">
        <v>24.8</v>
      </c>
      <c r="E253" s="23">
        <v>3.59</v>
      </c>
      <c r="F253" s="22">
        <v>6.4379999999999997</v>
      </c>
      <c r="G253" s="1">
        <v>24800</v>
      </c>
      <c r="I253" s="24">
        <v>7.57</v>
      </c>
      <c r="J253" s="19">
        <v>8.900000000000001E-2</v>
      </c>
      <c r="K253" s="20">
        <v>5.86</v>
      </c>
      <c r="L253" s="17">
        <v>0.43099999999999999</v>
      </c>
      <c r="M253" s="17">
        <v>7</v>
      </c>
      <c r="N253" s="21">
        <v>330</v>
      </c>
      <c r="O253" s="17">
        <v>19.100000000000001</v>
      </c>
      <c r="P253" s="22">
        <v>6.4379999999999997</v>
      </c>
      <c r="Q253" s="23">
        <v>3.59</v>
      </c>
      <c r="R253" s="1">
        <v>24800</v>
      </c>
    </row>
    <row r="254" spans="1:18">
      <c r="A254" s="23">
        <v>3.53</v>
      </c>
      <c r="B254" s="17">
        <f t="shared" si="3"/>
        <v>29600</v>
      </c>
      <c r="C254" s="17">
        <v>29.6</v>
      </c>
      <c r="E254" s="23">
        <v>3.53</v>
      </c>
      <c r="F254" s="22">
        <v>6.9569999999999999</v>
      </c>
      <c r="G254" s="1">
        <v>29600</v>
      </c>
      <c r="I254" s="24">
        <v>7.52</v>
      </c>
      <c r="J254" s="19">
        <v>6.8000000000000005E-2</v>
      </c>
      <c r="K254" s="20">
        <v>5.86</v>
      </c>
      <c r="L254" s="17">
        <v>0.43099999999999999</v>
      </c>
      <c r="M254" s="17">
        <v>7</v>
      </c>
      <c r="N254" s="21">
        <v>330</v>
      </c>
      <c r="O254" s="17">
        <v>19.100000000000001</v>
      </c>
      <c r="P254" s="22">
        <v>6.9569999999999999</v>
      </c>
      <c r="Q254" s="23">
        <v>3.53</v>
      </c>
      <c r="R254" s="1">
        <v>29600</v>
      </c>
    </row>
    <row r="255" spans="1:18">
      <c r="A255" s="23">
        <v>3.54</v>
      </c>
      <c r="B255" s="17">
        <f t="shared" si="3"/>
        <v>42800</v>
      </c>
      <c r="C255" s="17">
        <v>42.8</v>
      </c>
      <c r="E255" s="23">
        <v>3.54</v>
      </c>
      <c r="F255" s="22">
        <v>8.2590000000000003</v>
      </c>
      <c r="G255" s="1">
        <v>42800</v>
      </c>
      <c r="I255" s="24">
        <v>8.49</v>
      </c>
      <c r="J255" s="19">
        <v>8.4000000000000005E-2</v>
      </c>
      <c r="K255" s="20">
        <v>5.86</v>
      </c>
      <c r="L255" s="17">
        <v>0.43099999999999999</v>
      </c>
      <c r="M255" s="17">
        <v>7</v>
      </c>
      <c r="N255" s="21">
        <v>330</v>
      </c>
      <c r="O255" s="17">
        <v>19.100000000000001</v>
      </c>
      <c r="P255" s="22">
        <v>8.2590000000000003</v>
      </c>
      <c r="Q255" s="23">
        <v>3.54</v>
      </c>
      <c r="R255" s="1">
        <v>42800</v>
      </c>
    </row>
    <row r="256" spans="1:18">
      <c r="A256" s="23">
        <v>6.57</v>
      </c>
      <c r="B256" s="17">
        <f t="shared" si="3"/>
        <v>21900</v>
      </c>
      <c r="C256" s="17">
        <v>21.9</v>
      </c>
      <c r="E256" s="23">
        <v>6.57</v>
      </c>
      <c r="F256" s="22">
        <v>6.1079999999999997</v>
      </c>
      <c r="G256" s="1">
        <v>21900</v>
      </c>
      <c r="I256" s="24">
        <v>6.19</v>
      </c>
      <c r="J256" s="19">
        <v>0.32</v>
      </c>
      <c r="K256" s="20">
        <v>3.64</v>
      </c>
      <c r="L256" s="17">
        <v>0.39200000000000002</v>
      </c>
      <c r="M256" s="17">
        <v>1</v>
      </c>
      <c r="N256" s="21">
        <v>315</v>
      </c>
      <c r="O256" s="17">
        <v>16.399999999999999</v>
      </c>
      <c r="P256" s="22">
        <v>6.1079999999999997</v>
      </c>
      <c r="Q256" s="23">
        <v>6.57</v>
      </c>
      <c r="R256" s="1">
        <v>21900</v>
      </c>
    </row>
    <row r="257" spans="1:18">
      <c r="A257" s="23">
        <v>9.25</v>
      </c>
      <c r="B257" s="17">
        <f t="shared" si="3"/>
        <v>20900</v>
      </c>
      <c r="C257" s="17">
        <v>20.9</v>
      </c>
      <c r="E257" s="23">
        <v>9.25</v>
      </c>
      <c r="F257" s="22">
        <v>5.8760000000000003</v>
      </c>
      <c r="G257" s="1">
        <v>20900</v>
      </c>
      <c r="I257" s="24">
        <v>2.5</v>
      </c>
      <c r="J257" s="19">
        <v>0.19100000000000003</v>
      </c>
      <c r="K257" s="20">
        <v>3.64</v>
      </c>
      <c r="L257" s="17">
        <v>0.39200000000000002</v>
      </c>
      <c r="M257" s="17">
        <v>1</v>
      </c>
      <c r="N257" s="21">
        <v>315</v>
      </c>
      <c r="O257" s="17">
        <v>16.399999999999999</v>
      </c>
      <c r="P257" s="22">
        <v>5.8760000000000003</v>
      </c>
      <c r="Q257" s="23">
        <v>9.25</v>
      </c>
      <c r="R257" s="1">
        <v>20900</v>
      </c>
    </row>
    <row r="258" spans="1:18">
      <c r="A258" s="23">
        <v>3.11</v>
      </c>
      <c r="B258" s="17">
        <f t="shared" si="3"/>
        <v>44000</v>
      </c>
      <c r="C258" s="17">
        <v>44</v>
      </c>
      <c r="E258" s="23">
        <v>3.11</v>
      </c>
      <c r="F258" s="22">
        <v>7.4539999999999997</v>
      </c>
      <c r="G258" s="1">
        <v>44000</v>
      </c>
      <c r="I258" s="24">
        <v>4.1399999999999997</v>
      </c>
      <c r="J258" s="19">
        <v>0.34200000000000003</v>
      </c>
      <c r="K258" s="20">
        <v>3.75</v>
      </c>
      <c r="L258" s="17">
        <v>0.39400000000000002</v>
      </c>
      <c r="M258" s="17">
        <v>3</v>
      </c>
      <c r="N258" s="21">
        <v>244</v>
      </c>
      <c r="O258" s="17">
        <v>15.9</v>
      </c>
      <c r="P258" s="22">
        <v>7.4539999999999997</v>
      </c>
      <c r="Q258" s="23">
        <v>3.11</v>
      </c>
      <c r="R258" s="1">
        <v>44000</v>
      </c>
    </row>
    <row r="259" spans="1:18">
      <c r="A259" s="23">
        <v>5.12</v>
      </c>
      <c r="B259" s="17">
        <f t="shared" ref="B259:B322" si="4">C259*1000</f>
        <v>50000</v>
      </c>
      <c r="C259" s="17">
        <v>50</v>
      </c>
      <c r="E259" s="23">
        <v>5.12</v>
      </c>
      <c r="F259" s="22">
        <v>8.7040000000000006</v>
      </c>
      <c r="G259" s="1">
        <v>50000</v>
      </c>
      <c r="I259" s="24">
        <v>4.5999999999999996</v>
      </c>
      <c r="J259" s="19">
        <v>0.86900000000000011</v>
      </c>
      <c r="K259" s="20">
        <v>3.97</v>
      </c>
      <c r="L259" s="17">
        <v>0.64700000000000002</v>
      </c>
      <c r="M259" s="17">
        <v>5</v>
      </c>
      <c r="N259" s="21">
        <v>264</v>
      </c>
      <c r="O259" s="17">
        <v>13</v>
      </c>
      <c r="P259" s="22">
        <v>8.7040000000000006</v>
      </c>
      <c r="Q259" s="23">
        <v>5.12</v>
      </c>
      <c r="R259" s="1">
        <v>50000</v>
      </c>
    </row>
    <row r="260" spans="1:18">
      <c r="A260" s="23">
        <v>7.79</v>
      </c>
      <c r="B260" s="17">
        <f t="shared" si="4"/>
        <v>36000</v>
      </c>
      <c r="C260" s="17">
        <v>36</v>
      </c>
      <c r="E260" s="23">
        <v>7.79</v>
      </c>
      <c r="F260" s="22">
        <v>7.3330000000000002</v>
      </c>
      <c r="G260" s="1">
        <v>36000</v>
      </c>
      <c r="I260" s="24">
        <v>0.12</v>
      </c>
      <c r="J260" s="19">
        <v>1</v>
      </c>
      <c r="K260" s="20">
        <v>3.97</v>
      </c>
      <c r="L260" s="17">
        <v>0.64700000000000002</v>
      </c>
      <c r="M260" s="17">
        <v>5</v>
      </c>
      <c r="N260" s="21">
        <v>264</v>
      </c>
      <c r="O260" s="17">
        <v>13</v>
      </c>
      <c r="P260" s="22">
        <v>7.3330000000000002</v>
      </c>
      <c r="Q260" s="23">
        <v>7.79</v>
      </c>
      <c r="R260" s="1">
        <v>36000</v>
      </c>
    </row>
    <row r="261" spans="1:18">
      <c r="A261" s="23">
        <v>6.9</v>
      </c>
      <c r="B261" s="17">
        <f t="shared" si="4"/>
        <v>30100</v>
      </c>
      <c r="C261" s="17">
        <v>30.1</v>
      </c>
      <c r="E261" s="23">
        <v>6.9</v>
      </c>
      <c r="F261" s="22">
        <v>6.8419999999999996</v>
      </c>
      <c r="G261" s="1">
        <v>30100</v>
      </c>
      <c r="I261" s="24">
        <v>4.74</v>
      </c>
      <c r="J261" s="19">
        <v>1</v>
      </c>
      <c r="K261" s="20">
        <v>3.97</v>
      </c>
      <c r="L261" s="17">
        <v>0.64700000000000002</v>
      </c>
      <c r="M261" s="17">
        <v>5</v>
      </c>
      <c r="N261" s="21">
        <v>264</v>
      </c>
      <c r="O261" s="17">
        <v>13</v>
      </c>
      <c r="P261" s="22">
        <v>6.8419999999999996</v>
      </c>
      <c r="Q261" s="23">
        <v>6.9</v>
      </c>
      <c r="R261" s="1">
        <v>30100</v>
      </c>
    </row>
    <row r="262" spans="1:18">
      <c r="A262" s="23">
        <v>9.59</v>
      </c>
      <c r="B262" s="17">
        <f t="shared" si="4"/>
        <v>33800</v>
      </c>
      <c r="C262" s="17">
        <v>33.799999999999997</v>
      </c>
      <c r="E262" s="23">
        <v>9.59</v>
      </c>
      <c r="F262" s="22">
        <v>7.2030000000000003</v>
      </c>
      <c r="G262" s="1">
        <v>33800</v>
      </c>
      <c r="I262" s="24">
        <v>6.51</v>
      </c>
      <c r="J262" s="19">
        <v>0.81799999999999995</v>
      </c>
      <c r="K262" s="20">
        <v>3.97</v>
      </c>
      <c r="L262" s="17">
        <v>0.64700000000000002</v>
      </c>
      <c r="M262" s="17">
        <v>5</v>
      </c>
      <c r="N262" s="21">
        <v>264</v>
      </c>
      <c r="O262" s="17">
        <v>13</v>
      </c>
      <c r="P262" s="22">
        <v>7.2030000000000003</v>
      </c>
      <c r="Q262" s="23">
        <v>9.59</v>
      </c>
      <c r="R262" s="1">
        <v>33800</v>
      </c>
    </row>
    <row r="263" spans="1:18">
      <c r="A263" s="23">
        <v>7.26</v>
      </c>
      <c r="B263" s="17">
        <f t="shared" si="4"/>
        <v>43100</v>
      </c>
      <c r="C263" s="17">
        <v>43.1</v>
      </c>
      <c r="E263" s="23">
        <v>7.26</v>
      </c>
      <c r="F263" s="22">
        <v>7.52</v>
      </c>
      <c r="G263" s="1">
        <v>43100</v>
      </c>
      <c r="I263" s="24">
        <v>1.36</v>
      </c>
      <c r="J263" s="19">
        <v>0.89400000000000013</v>
      </c>
      <c r="K263" s="20">
        <v>3.97</v>
      </c>
      <c r="L263" s="17">
        <v>0.64700000000000002</v>
      </c>
      <c r="M263" s="17">
        <v>5</v>
      </c>
      <c r="N263" s="21">
        <v>264</v>
      </c>
      <c r="O263" s="17">
        <v>13</v>
      </c>
      <c r="P263" s="22">
        <v>7.52</v>
      </c>
      <c r="Q263" s="23">
        <v>7.26</v>
      </c>
      <c r="R263" s="1">
        <v>43100</v>
      </c>
    </row>
    <row r="264" spans="1:18">
      <c r="A264" s="23">
        <v>5.91</v>
      </c>
      <c r="B264" s="17">
        <f t="shared" si="4"/>
        <v>48800</v>
      </c>
      <c r="C264" s="17">
        <v>48.8</v>
      </c>
      <c r="E264" s="23">
        <v>5.91</v>
      </c>
      <c r="F264" s="22">
        <v>8.3979999999999997</v>
      </c>
      <c r="G264" s="1">
        <v>48800</v>
      </c>
      <c r="I264" s="24">
        <v>3.63</v>
      </c>
      <c r="J264" s="19">
        <v>0.91500000000000004</v>
      </c>
      <c r="K264" s="20">
        <v>3.97</v>
      </c>
      <c r="L264" s="17">
        <v>0.64700000000000002</v>
      </c>
      <c r="M264" s="17">
        <v>5</v>
      </c>
      <c r="N264" s="21">
        <v>264</v>
      </c>
      <c r="O264" s="17">
        <v>13</v>
      </c>
      <c r="P264" s="22">
        <v>8.3979999999999997</v>
      </c>
      <c r="Q264" s="23">
        <v>5.91</v>
      </c>
      <c r="R264" s="1">
        <v>48800</v>
      </c>
    </row>
    <row r="265" spans="1:18">
      <c r="A265" s="23">
        <v>11.25</v>
      </c>
      <c r="B265" s="17">
        <f t="shared" si="4"/>
        <v>31000</v>
      </c>
      <c r="C265" s="17">
        <v>31</v>
      </c>
      <c r="E265" s="23">
        <v>11.25</v>
      </c>
      <c r="F265" s="22">
        <v>7.327</v>
      </c>
      <c r="G265" s="1">
        <v>31000</v>
      </c>
      <c r="I265" s="24">
        <v>3.22</v>
      </c>
      <c r="J265" s="19">
        <v>0.94500000000000006</v>
      </c>
      <c r="K265" s="20">
        <v>3.97</v>
      </c>
      <c r="L265" s="17">
        <v>0.64700000000000002</v>
      </c>
      <c r="M265" s="17">
        <v>5</v>
      </c>
      <c r="N265" s="21">
        <v>264</v>
      </c>
      <c r="O265" s="17">
        <v>13</v>
      </c>
      <c r="P265" s="22">
        <v>7.327</v>
      </c>
      <c r="Q265" s="23">
        <v>11.25</v>
      </c>
      <c r="R265" s="1">
        <v>31000</v>
      </c>
    </row>
    <row r="266" spans="1:18">
      <c r="A266" s="23">
        <v>8.1</v>
      </c>
      <c r="B266" s="17">
        <f t="shared" si="4"/>
        <v>36500</v>
      </c>
      <c r="C266" s="17">
        <v>36.5</v>
      </c>
      <c r="E266" s="23">
        <v>8.1</v>
      </c>
      <c r="F266" s="22">
        <v>7.2060000000000004</v>
      </c>
      <c r="G266" s="1">
        <v>36500</v>
      </c>
      <c r="I266" s="24">
        <v>7.15</v>
      </c>
      <c r="J266" s="19">
        <v>0.91599999999999993</v>
      </c>
      <c r="K266" s="20">
        <v>3.97</v>
      </c>
      <c r="L266" s="17">
        <v>0.64700000000000002</v>
      </c>
      <c r="M266" s="17">
        <v>5</v>
      </c>
      <c r="N266" s="21">
        <v>264</v>
      </c>
      <c r="O266" s="17">
        <v>13</v>
      </c>
      <c r="P266" s="22">
        <v>7.2060000000000004</v>
      </c>
      <c r="Q266" s="23">
        <v>8.1</v>
      </c>
      <c r="R266" s="1">
        <v>36500</v>
      </c>
    </row>
    <row r="267" spans="1:18">
      <c r="A267" s="23">
        <v>10.45</v>
      </c>
      <c r="B267" s="17">
        <f t="shared" si="4"/>
        <v>22800</v>
      </c>
      <c r="C267" s="17">
        <v>22.8</v>
      </c>
      <c r="E267" s="23">
        <v>10.45</v>
      </c>
      <c r="F267" s="22">
        <v>5.56</v>
      </c>
      <c r="G267" s="1">
        <v>22800</v>
      </c>
      <c r="I267" s="24">
        <v>5.75</v>
      </c>
      <c r="J267" s="19">
        <v>0.628</v>
      </c>
      <c r="K267" s="20">
        <v>3.97</v>
      </c>
      <c r="L267" s="17">
        <v>0.64700000000000002</v>
      </c>
      <c r="M267" s="17">
        <v>5</v>
      </c>
      <c r="N267" s="21">
        <v>264</v>
      </c>
      <c r="O267" s="17">
        <v>13</v>
      </c>
      <c r="P267" s="22">
        <v>5.56</v>
      </c>
      <c r="Q267" s="23">
        <v>10.45</v>
      </c>
      <c r="R267" s="1">
        <v>22800</v>
      </c>
    </row>
    <row r="268" spans="1:18">
      <c r="A268" s="23">
        <v>14.79</v>
      </c>
      <c r="B268" s="17">
        <f t="shared" si="4"/>
        <v>30700</v>
      </c>
      <c r="C268" s="17">
        <v>30.7</v>
      </c>
      <c r="E268" s="23">
        <v>14.79</v>
      </c>
      <c r="F268" s="22">
        <v>7.0140000000000002</v>
      </c>
      <c r="G268" s="1">
        <v>30700</v>
      </c>
      <c r="I268" s="24">
        <v>3.44</v>
      </c>
      <c r="J268" s="19">
        <v>0.84599999999999997</v>
      </c>
      <c r="K268" s="20">
        <v>3.97</v>
      </c>
      <c r="L268" s="17">
        <v>0.64700000000000002</v>
      </c>
      <c r="M268" s="17">
        <v>5</v>
      </c>
      <c r="N268" s="21">
        <v>264</v>
      </c>
      <c r="O268" s="17">
        <v>13</v>
      </c>
      <c r="P268" s="22">
        <v>7.0140000000000002</v>
      </c>
      <c r="Q268" s="23">
        <v>14.79</v>
      </c>
      <c r="R268" s="1">
        <v>30700</v>
      </c>
    </row>
    <row r="269" spans="1:18">
      <c r="A269" s="23">
        <v>7.44</v>
      </c>
      <c r="B269" s="17">
        <f t="shared" si="4"/>
        <v>50000</v>
      </c>
      <c r="C269" s="17">
        <v>50</v>
      </c>
      <c r="E269" s="23">
        <v>7.44</v>
      </c>
      <c r="F269" s="22">
        <v>8.2970000000000006</v>
      </c>
      <c r="G269" s="1">
        <v>50000</v>
      </c>
      <c r="I269" s="24">
        <v>6.3</v>
      </c>
      <c r="J269" s="19">
        <v>0.67</v>
      </c>
      <c r="K269" s="20">
        <v>3.97</v>
      </c>
      <c r="L269" s="17">
        <v>0.57499999999999996</v>
      </c>
      <c r="M269" s="17">
        <v>5</v>
      </c>
      <c r="N269" s="21">
        <v>264</v>
      </c>
      <c r="O269" s="17">
        <v>13</v>
      </c>
      <c r="P269" s="22">
        <v>8.2970000000000006</v>
      </c>
      <c r="Q269" s="23">
        <v>7.44</v>
      </c>
      <c r="R269" s="1">
        <v>50000</v>
      </c>
    </row>
    <row r="270" spans="1:18">
      <c r="A270" s="23">
        <v>3.16</v>
      </c>
      <c r="B270" s="17">
        <f t="shared" si="4"/>
        <v>43500</v>
      </c>
      <c r="C270" s="17">
        <v>43.5</v>
      </c>
      <c r="E270" s="23">
        <v>3.16</v>
      </c>
      <c r="F270" s="22">
        <v>7.47</v>
      </c>
      <c r="G270" s="1">
        <v>43500</v>
      </c>
      <c r="I270" s="24">
        <v>1.47</v>
      </c>
      <c r="J270" s="19">
        <v>0.52600000000000002</v>
      </c>
      <c r="K270" s="20">
        <v>3.97</v>
      </c>
      <c r="L270" s="17">
        <v>0.57499999999999996</v>
      </c>
      <c r="M270" s="17">
        <v>5</v>
      </c>
      <c r="N270" s="21">
        <v>264</v>
      </c>
      <c r="O270" s="17">
        <v>13</v>
      </c>
      <c r="P270" s="22">
        <v>7.47</v>
      </c>
      <c r="Q270" s="23">
        <v>3.16</v>
      </c>
      <c r="R270" s="1">
        <v>43500</v>
      </c>
    </row>
    <row r="271" spans="1:18">
      <c r="A271" s="23">
        <v>13.65</v>
      </c>
      <c r="B271" s="17">
        <f t="shared" si="4"/>
        <v>20700</v>
      </c>
      <c r="C271" s="17">
        <v>20.7</v>
      </c>
      <c r="E271" s="23">
        <v>13.65</v>
      </c>
      <c r="F271" s="22">
        <v>5.92</v>
      </c>
      <c r="G271" s="1">
        <v>20700</v>
      </c>
      <c r="I271" s="24">
        <v>8.23</v>
      </c>
      <c r="J271" s="19">
        <v>0.61499999999999999</v>
      </c>
      <c r="K271" s="20">
        <v>6.96</v>
      </c>
      <c r="L271" s="17">
        <v>0.46400000000000002</v>
      </c>
      <c r="M271" s="17">
        <v>3</v>
      </c>
      <c r="N271" s="21">
        <v>223</v>
      </c>
      <c r="O271" s="17">
        <v>18.600000000000001</v>
      </c>
      <c r="P271" s="22">
        <v>5.92</v>
      </c>
      <c r="Q271" s="23">
        <v>13.65</v>
      </c>
      <c r="R271" s="1">
        <v>20700</v>
      </c>
    </row>
    <row r="272" spans="1:18">
      <c r="A272" s="23">
        <v>13</v>
      </c>
      <c r="B272" s="17">
        <f t="shared" si="4"/>
        <v>21100</v>
      </c>
      <c r="C272" s="17">
        <v>21.1</v>
      </c>
      <c r="E272" s="23">
        <v>13</v>
      </c>
      <c r="F272" s="22">
        <v>5.8559999999999999</v>
      </c>
      <c r="G272" s="1">
        <v>21100</v>
      </c>
      <c r="I272" s="24">
        <v>1.83</v>
      </c>
      <c r="J272" s="19">
        <v>0.42100000000000004</v>
      </c>
      <c r="K272" s="20">
        <v>6.96</v>
      </c>
      <c r="L272" s="17">
        <v>0.46400000000000002</v>
      </c>
      <c r="M272" s="17">
        <v>3</v>
      </c>
      <c r="N272" s="21">
        <v>223</v>
      </c>
      <c r="O272" s="17">
        <v>18.600000000000001</v>
      </c>
      <c r="P272" s="22">
        <v>5.8559999999999999</v>
      </c>
      <c r="Q272" s="23">
        <v>13</v>
      </c>
      <c r="R272" s="1">
        <v>21100</v>
      </c>
    </row>
    <row r="273" spans="1:18">
      <c r="A273" s="23">
        <v>6.59</v>
      </c>
      <c r="B273" s="17">
        <f t="shared" si="4"/>
        <v>25200</v>
      </c>
      <c r="C273" s="17">
        <v>25.2</v>
      </c>
      <c r="E273" s="23">
        <v>6.59</v>
      </c>
      <c r="F273" s="22">
        <v>6.24</v>
      </c>
      <c r="G273" s="1">
        <v>25200</v>
      </c>
      <c r="I273" s="24">
        <v>9.64</v>
      </c>
      <c r="J273" s="19">
        <v>0.16300000000000001</v>
      </c>
      <c r="K273" s="20">
        <v>6.96</v>
      </c>
      <c r="L273" s="17">
        <v>0.46400000000000002</v>
      </c>
      <c r="M273" s="17">
        <v>3</v>
      </c>
      <c r="N273" s="21">
        <v>223</v>
      </c>
      <c r="O273" s="17">
        <v>18.600000000000001</v>
      </c>
      <c r="P273" s="22">
        <v>6.24</v>
      </c>
      <c r="Q273" s="23">
        <v>6.59</v>
      </c>
      <c r="R273" s="1">
        <v>25200</v>
      </c>
    </row>
    <row r="274" spans="1:18">
      <c r="A274" s="23">
        <v>7.73</v>
      </c>
      <c r="B274" s="17">
        <f t="shared" si="4"/>
        <v>24400</v>
      </c>
      <c r="C274" s="17">
        <v>24.4</v>
      </c>
      <c r="E274" s="23">
        <v>7.73</v>
      </c>
      <c r="F274" s="22">
        <v>6.5380000000000003</v>
      </c>
      <c r="G274" s="1">
        <v>24400</v>
      </c>
      <c r="I274" s="24">
        <v>7.4</v>
      </c>
      <c r="J274" s="19">
        <v>0.58700000000000008</v>
      </c>
      <c r="K274" s="20">
        <v>6.96</v>
      </c>
      <c r="L274" s="17">
        <v>0.46400000000000002</v>
      </c>
      <c r="M274" s="17">
        <v>3</v>
      </c>
      <c r="N274" s="21">
        <v>223</v>
      </c>
      <c r="O274" s="17">
        <v>18.600000000000001</v>
      </c>
      <c r="P274" s="22">
        <v>6.5380000000000003</v>
      </c>
      <c r="Q274" s="23">
        <v>7.73</v>
      </c>
      <c r="R274" s="1">
        <v>24400</v>
      </c>
    </row>
    <row r="275" spans="1:18">
      <c r="A275" s="23">
        <v>6.58</v>
      </c>
      <c r="B275" s="17">
        <f t="shared" si="4"/>
        <v>35200</v>
      </c>
      <c r="C275" s="17">
        <v>35.200000000000003</v>
      </c>
      <c r="E275" s="23">
        <v>6.58</v>
      </c>
      <c r="F275" s="22">
        <v>7.6909999999999998</v>
      </c>
      <c r="G275" s="1">
        <v>35200</v>
      </c>
      <c r="I275" s="24">
        <v>7.34</v>
      </c>
      <c r="J275" s="19">
        <v>0.51800000000000002</v>
      </c>
      <c r="K275" s="20">
        <v>6.96</v>
      </c>
      <c r="L275" s="17">
        <v>0.46400000000000002</v>
      </c>
      <c r="M275" s="17">
        <v>3</v>
      </c>
      <c r="N275" s="21">
        <v>223</v>
      </c>
      <c r="O275" s="17">
        <v>18.600000000000001</v>
      </c>
      <c r="P275" s="22">
        <v>7.6909999999999998</v>
      </c>
      <c r="Q275" s="23">
        <v>6.58</v>
      </c>
      <c r="R275" s="1">
        <v>35200</v>
      </c>
    </row>
    <row r="276" spans="1:18">
      <c r="A276" s="23">
        <v>3.53</v>
      </c>
      <c r="B276" s="17">
        <f t="shared" si="4"/>
        <v>32400</v>
      </c>
      <c r="C276" s="17">
        <v>32.4</v>
      </c>
      <c r="E276" s="23">
        <v>3.53</v>
      </c>
      <c r="F276" s="22">
        <v>6.758</v>
      </c>
      <c r="G276" s="1">
        <v>32400</v>
      </c>
      <c r="I276" s="24">
        <v>0.33</v>
      </c>
      <c r="J276" s="19">
        <v>0.32900000000000001</v>
      </c>
      <c r="K276" s="20">
        <v>6.41</v>
      </c>
      <c r="L276" s="17">
        <v>0.44700000000000001</v>
      </c>
      <c r="M276" s="17">
        <v>4</v>
      </c>
      <c r="N276" s="21">
        <v>254</v>
      </c>
      <c r="O276" s="17">
        <v>17.600000000000001</v>
      </c>
      <c r="P276" s="22">
        <v>6.758</v>
      </c>
      <c r="Q276" s="23">
        <v>3.53</v>
      </c>
      <c r="R276" s="1">
        <v>32400</v>
      </c>
    </row>
    <row r="277" spans="1:18">
      <c r="A277" s="23">
        <v>2.98</v>
      </c>
      <c r="B277" s="17">
        <f t="shared" si="4"/>
        <v>32000</v>
      </c>
      <c r="C277" s="17">
        <v>32</v>
      </c>
      <c r="E277" s="23">
        <v>2.98</v>
      </c>
      <c r="F277" s="22">
        <v>6.8540000000000001</v>
      </c>
      <c r="G277" s="1">
        <v>32000</v>
      </c>
      <c r="I277" s="24">
        <v>8.7899999999999991</v>
      </c>
      <c r="J277" s="19">
        <v>0.42799999999999999</v>
      </c>
      <c r="K277" s="20">
        <v>6.41</v>
      </c>
      <c r="L277" s="17">
        <v>0.44700000000000001</v>
      </c>
      <c r="M277" s="17">
        <v>4</v>
      </c>
      <c r="N277" s="21">
        <v>254</v>
      </c>
      <c r="O277" s="17">
        <v>17.600000000000001</v>
      </c>
      <c r="P277" s="22">
        <v>6.8540000000000001</v>
      </c>
      <c r="Q277" s="23">
        <v>2.98</v>
      </c>
      <c r="R277" s="1">
        <v>32000</v>
      </c>
    </row>
    <row r="278" spans="1:18">
      <c r="A278" s="23">
        <v>6.05</v>
      </c>
      <c r="B278" s="17">
        <f t="shared" si="4"/>
        <v>33200</v>
      </c>
      <c r="C278" s="17">
        <v>33.200000000000003</v>
      </c>
      <c r="E278" s="23">
        <v>6.05</v>
      </c>
      <c r="F278" s="22">
        <v>7.2670000000000003</v>
      </c>
      <c r="G278" s="1">
        <v>33200</v>
      </c>
      <c r="I278" s="24">
        <v>9.35</v>
      </c>
      <c r="J278" s="19">
        <v>0.49</v>
      </c>
      <c r="K278" s="20">
        <v>6.41</v>
      </c>
      <c r="L278" s="17">
        <v>0.44700000000000001</v>
      </c>
      <c r="M278" s="17">
        <v>4</v>
      </c>
      <c r="N278" s="21">
        <v>254</v>
      </c>
      <c r="O278" s="17">
        <v>17.600000000000001</v>
      </c>
      <c r="P278" s="22">
        <v>7.2670000000000003</v>
      </c>
      <c r="Q278" s="23">
        <v>6.05</v>
      </c>
      <c r="R278" s="1">
        <v>33200</v>
      </c>
    </row>
    <row r="279" spans="1:18">
      <c r="A279" s="23">
        <v>4.16</v>
      </c>
      <c r="B279" s="17">
        <f t="shared" si="4"/>
        <v>33100</v>
      </c>
      <c r="C279" s="17">
        <v>33.1</v>
      </c>
      <c r="E279" s="23">
        <v>4.16</v>
      </c>
      <c r="F279" s="22">
        <v>6.8259999999999996</v>
      </c>
      <c r="G279" s="1">
        <v>33100</v>
      </c>
      <c r="I279" s="24">
        <v>8.7100000000000009</v>
      </c>
      <c r="J279" s="19">
        <v>0.27600000000000002</v>
      </c>
      <c r="K279" s="20">
        <v>6.41</v>
      </c>
      <c r="L279" s="17">
        <v>0.44700000000000001</v>
      </c>
      <c r="M279" s="17">
        <v>4</v>
      </c>
      <c r="N279" s="21">
        <v>254</v>
      </c>
      <c r="O279" s="17">
        <v>17.600000000000001</v>
      </c>
      <c r="P279" s="22">
        <v>6.8259999999999996</v>
      </c>
      <c r="Q279" s="23">
        <v>4.16</v>
      </c>
      <c r="R279" s="1">
        <v>33100</v>
      </c>
    </row>
    <row r="280" spans="1:18">
      <c r="A280" s="23">
        <v>7.19</v>
      </c>
      <c r="B280" s="17">
        <f t="shared" si="4"/>
        <v>29100</v>
      </c>
      <c r="C280" s="17">
        <v>29.1</v>
      </c>
      <c r="E280" s="23">
        <v>7.19</v>
      </c>
      <c r="F280" s="22">
        <v>6.4820000000000002</v>
      </c>
      <c r="G280" s="1">
        <v>29100</v>
      </c>
      <c r="I280" s="24">
        <v>0.11</v>
      </c>
      <c r="J280" s="19">
        <v>0.32100000000000001</v>
      </c>
      <c r="K280" s="20">
        <v>6.41</v>
      </c>
      <c r="L280" s="17">
        <v>0.44700000000000001</v>
      </c>
      <c r="M280" s="17">
        <v>4</v>
      </c>
      <c r="N280" s="21">
        <v>254</v>
      </c>
      <c r="O280" s="17">
        <v>17.600000000000001</v>
      </c>
      <c r="P280" s="22">
        <v>6.4820000000000002</v>
      </c>
      <c r="Q280" s="23">
        <v>7.19</v>
      </c>
      <c r="R280" s="1">
        <v>29100</v>
      </c>
    </row>
    <row r="281" spans="1:18">
      <c r="A281" s="23">
        <v>4.8499999999999996</v>
      </c>
      <c r="B281" s="17">
        <f t="shared" si="4"/>
        <v>35100</v>
      </c>
      <c r="C281" s="17">
        <v>35.1</v>
      </c>
      <c r="E281" s="23">
        <v>4.8499999999999996</v>
      </c>
      <c r="F281" s="22">
        <v>6.8120000000000003</v>
      </c>
      <c r="G281" s="1">
        <v>35100</v>
      </c>
      <c r="I281" s="24">
        <v>4.1100000000000003</v>
      </c>
      <c r="J281" s="19">
        <v>0.32200000000000001</v>
      </c>
      <c r="K281" s="20">
        <v>3.33</v>
      </c>
      <c r="L281" s="17">
        <v>0.44290000000000002</v>
      </c>
      <c r="M281" s="17">
        <v>5</v>
      </c>
      <c r="N281" s="21">
        <v>216</v>
      </c>
      <c r="O281" s="17">
        <v>14.9</v>
      </c>
      <c r="P281" s="22">
        <v>6.8120000000000003</v>
      </c>
      <c r="Q281" s="23">
        <v>4.8499999999999996</v>
      </c>
      <c r="R281" s="1">
        <v>35100</v>
      </c>
    </row>
    <row r="282" spans="1:18">
      <c r="A282" s="23">
        <v>3.76</v>
      </c>
      <c r="B282" s="17">
        <f t="shared" si="4"/>
        <v>45400</v>
      </c>
      <c r="C282" s="17">
        <v>45.4</v>
      </c>
      <c r="E282" s="23">
        <v>3.76</v>
      </c>
      <c r="F282" s="22">
        <v>7.82</v>
      </c>
      <c r="G282" s="1">
        <v>45400</v>
      </c>
      <c r="I282" s="24">
        <v>5.53</v>
      </c>
      <c r="J282" s="19">
        <v>0.64500000000000002</v>
      </c>
      <c r="K282" s="20">
        <v>3.33</v>
      </c>
      <c r="L282" s="17">
        <v>0.44290000000000002</v>
      </c>
      <c r="M282" s="17">
        <v>5</v>
      </c>
      <c r="N282" s="21">
        <v>216</v>
      </c>
      <c r="O282" s="17">
        <v>14.9</v>
      </c>
      <c r="P282" s="22">
        <v>7.82</v>
      </c>
      <c r="Q282" s="23">
        <v>3.76</v>
      </c>
      <c r="R282" s="1">
        <v>45400</v>
      </c>
    </row>
    <row r="283" spans="1:18">
      <c r="A283" s="23">
        <v>4.59</v>
      </c>
      <c r="B283" s="17">
        <f t="shared" si="4"/>
        <v>35400</v>
      </c>
      <c r="C283" s="17">
        <v>35.4</v>
      </c>
      <c r="E283" s="23">
        <v>4.59</v>
      </c>
      <c r="F283" s="22">
        <v>6.968</v>
      </c>
      <c r="G283" s="1">
        <v>35400</v>
      </c>
      <c r="I283" s="24">
        <v>7.79</v>
      </c>
      <c r="J283" s="19">
        <v>0.37200000000000005</v>
      </c>
      <c r="K283" s="20">
        <v>3.33</v>
      </c>
      <c r="L283" s="17">
        <v>0.44290000000000002</v>
      </c>
      <c r="M283" s="17">
        <v>5</v>
      </c>
      <c r="N283" s="21">
        <v>216</v>
      </c>
      <c r="O283" s="17">
        <v>14.9</v>
      </c>
      <c r="P283" s="22">
        <v>6.968</v>
      </c>
      <c r="Q283" s="23">
        <v>4.59</v>
      </c>
      <c r="R283" s="1">
        <v>35400</v>
      </c>
    </row>
    <row r="284" spans="1:18">
      <c r="A284" s="23">
        <v>3.01</v>
      </c>
      <c r="B284" s="17">
        <f t="shared" si="4"/>
        <v>46000</v>
      </c>
      <c r="C284" s="17">
        <v>46</v>
      </c>
      <c r="E284" s="23">
        <v>3.01</v>
      </c>
      <c r="F284" s="22">
        <v>7.6449999999999996</v>
      </c>
      <c r="G284" s="1">
        <v>46000</v>
      </c>
      <c r="I284" s="24">
        <v>4.2699999999999996</v>
      </c>
      <c r="J284" s="19">
        <v>0.49700000000000005</v>
      </c>
      <c r="K284" s="20">
        <v>3.33</v>
      </c>
      <c r="L284" s="17">
        <v>0.44290000000000002</v>
      </c>
      <c r="M284" s="17">
        <v>5</v>
      </c>
      <c r="N284" s="21">
        <v>216</v>
      </c>
      <c r="O284" s="17">
        <v>14.9</v>
      </c>
      <c r="P284" s="22">
        <v>7.6449999999999996</v>
      </c>
      <c r="Q284" s="23">
        <v>3.01</v>
      </c>
      <c r="R284" s="1">
        <v>46000</v>
      </c>
    </row>
    <row r="285" spans="1:18">
      <c r="A285" s="23">
        <v>3.16</v>
      </c>
      <c r="B285" s="17">
        <f t="shared" si="4"/>
        <v>50000</v>
      </c>
      <c r="C285" s="17">
        <v>50</v>
      </c>
      <c r="E285" s="23">
        <v>3.16</v>
      </c>
      <c r="F285" s="22">
        <v>7.923</v>
      </c>
      <c r="G285" s="1">
        <v>50000</v>
      </c>
      <c r="I285" s="24">
        <v>4.71</v>
      </c>
      <c r="J285" s="19">
        <v>0.24800000000000003</v>
      </c>
      <c r="K285" s="20">
        <v>1.21</v>
      </c>
      <c r="L285" s="17">
        <v>0.40100000000000002</v>
      </c>
      <c r="M285" s="17">
        <v>1</v>
      </c>
      <c r="N285" s="21">
        <v>198</v>
      </c>
      <c r="O285" s="17">
        <v>13.6</v>
      </c>
      <c r="P285" s="22">
        <v>7.923</v>
      </c>
      <c r="Q285" s="23">
        <v>3.16</v>
      </c>
      <c r="R285" s="1">
        <v>50000</v>
      </c>
    </row>
    <row r="286" spans="1:18">
      <c r="A286" s="23">
        <v>7.85</v>
      </c>
      <c r="B286" s="17">
        <f t="shared" si="4"/>
        <v>32200.000000000004</v>
      </c>
      <c r="C286" s="17">
        <v>32.200000000000003</v>
      </c>
      <c r="E286" s="23">
        <v>7.85</v>
      </c>
      <c r="F286" s="22">
        <v>7.0880000000000001</v>
      </c>
      <c r="G286" s="1">
        <v>32200.000000000004</v>
      </c>
      <c r="I286" s="24">
        <v>6.75</v>
      </c>
      <c r="J286" s="19">
        <v>0.20800000000000002</v>
      </c>
      <c r="K286" s="20">
        <v>2.97</v>
      </c>
      <c r="L286" s="17">
        <v>0.4</v>
      </c>
      <c r="M286" s="17">
        <v>1</v>
      </c>
      <c r="N286" s="21">
        <v>285</v>
      </c>
      <c r="O286" s="17">
        <v>15.3</v>
      </c>
      <c r="P286" s="22">
        <v>7.0880000000000001</v>
      </c>
      <c r="Q286" s="23">
        <v>7.85</v>
      </c>
      <c r="R286" s="1">
        <v>32200.000000000004</v>
      </c>
    </row>
    <row r="287" spans="1:18">
      <c r="A287" s="23">
        <v>8.23</v>
      </c>
      <c r="B287" s="17">
        <f t="shared" si="4"/>
        <v>22000</v>
      </c>
      <c r="C287" s="17">
        <v>22</v>
      </c>
      <c r="E287" s="23">
        <v>8.23</v>
      </c>
      <c r="F287" s="22">
        <v>6.4530000000000003</v>
      </c>
      <c r="G287" s="1">
        <v>22000</v>
      </c>
      <c r="I287" s="24">
        <v>5.99</v>
      </c>
      <c r="J287" s="19">
        <v>0.31900000000000001</v>
      </c>
      <c r="K287" s="20">
        <v>2.25</v>
      </c>
      <c r="L287" s="17">
        <v>0.38900000000000001</v>
      </c>
      <c r="M287" s="17">
        <v>1</v>
      </c>
      <c r="N287" s="21">
        <v>300</v>
      </c>
      <c r="O287" s="17">
        <v>15.3</v>
      </c>
      <c r="P287" s="22">
        <v>6.4530000000000003</v>
      </c>
      <c r="Q287" s="23">
        <v>8.23</v>
      </c>
      <c r="R287" s="1">
        <v>22000</v>
      </c>
    </row>
    <row r="288" spans="1:18">
      <c r="A288" s="23">
        <v>12.93</v>
      </c>
      <c r="B288" s="17">
        <f t="shared" si="4"/>
        <v>20100</v>
      </c>
      <c r="C288" s="17">
        <v>20.100000000000001</v>
      </c>
      <c r="E288" s="23">
        <v>12.93</v>
      </c>
      <c r="F288" s="22">
        <v>6.23</v>
      </c>
      <c r="G288" s="1">
        <v>20100</v>
      </c>
      <c r="I288" s="24">
        <v>9.81</v>
      </c>
      <c r="J288" s="19">
        <v>0.315</v>
      </c>
      <c r="K288" s="20">
        <v>1.76</v>
      </c>
      <c r="L288" s="17">
        <v>0.38500000000000001</v>
      </c>
      <c r="M288" s="17">
        <v>1</v>
      </c>
      <c r="N288" s="21">
        <v>241</v>
      </c>
      <c r="O288" s="17">
        <v>18.2</v>
      </c>
      <c r="P288" s="22">
        <v>6.23</v>
      </c>
      <c r="Q288" s="23">
        <v>12.93</v>
      </c>
      <c r="R288" s="1">
        <v>20100</v>
      </c>
    </row>
    <row r="289" spans="1:18">
      <c r="A289" s="23">
        <v>7.14</v>
      </c>
      <c r="B289" s="17">
        <f t="shared" si="4"/>
        <v>23200</v>
      </c>
      <c r="C289" s="17">
        <v>23.2</v>
      </c>
      <c r="E289" s="23">
        <v>7.14</v>
      </c>
      <c r="F289" s="22">
        <v>6.2089999999999996</v>
      </c>
      <c r="G289" s="1">
        <v>23200</v>
      </c>
      <c r="I289" s="24">
        <v>0.23</v>
      </c>
      <c r="J289" s="19">
        <v>0.313</v>
      </c>
      <c r="K289" s="20">
        <v>5.32</v>
      </c>
      <c r="L289" s="17">
        <v>0.40500000000000003</v>
      </c>
      <c r="M289" s="17">
        <v>6</v>
      </c>
      <c r="N289" s="21">
        <v>293</v>
      </c>
      <c r="O289" s="17">
        <v>16.600000000000001</v>
      </c>
      <c r="P289" s="22">
        <v>6.2089999999999996</v>
      </c>
      <c r="Q289" s="23">
        <v>7.14</v>
      </c>
      <c r="R289" s="1">
        <v>23200</v>
      </c>
    </row>
    <row r="290" spans="1:18">
      <c r="A290" s="23">
        <v>7.6</v>
      </c>
      <c r="B290" s="17">
        <f t="shared" si="4"/>
        <v>22300</v>
      </c>
      <c r="C290" s="17">
        <v>22.3</v>
      </c>
      <c r="E290" s="23">
        <v>7.6</v>
      </c>
      <c r="F290" s="22">
        <v>6.3150000000000004</v>
      </c>
      <c r="G290" s="1">
        <v>22300</v>
      </c>
      <c r="I290" s="24">
        <v>8.49</v>
      </c>
      <c r="J290" s="19">
        <v>0.45600000000000002</v>
      </c>
      <c r="K290" s="20">
        <v>5.32</v>
      </c>
      <c r="L290" s="17">
        <v>0.40500000000000003</v>
      </c>
      <c r="M290" s="17">
        <v>6</v>
      </c>
      <c r="N290" s="21">
        <v>293</v>
      </c>
      <c r="O290" s="17">
        <v>16.600000000000001</v>
      </c>
      <c r="P290" s="22">
        <v>6.3150000000000004</v>
      </c>
      <c r="Q290" s="23">
        <v>7.6</v>
      </c>
      <c r="R290" s="1">
        <v>22300</v>
      </c>
    </row>
    <row r="291" spans="1:18">
      <c r="A291" s="23">
        <v>9.51</v>
      </c>
      <c r="B291" s="17">
        <f t="shared" si="4"/>
        <v>24800</v>
      </c>
      <c r="C291" s="17">
        <v>24.8</v>
      </c>
      <c r="E291" s="23">
        <v>9.51</v>
      </c>
      <c r="F291" s="22">
        <v>6.5650000000000004</v>
      </c>
      <c r="G291" s="1">
        <v>24800</v>
      </c>
      <c r="I291" s="24">
        <v>5.86</v>
      </c>
      <c r="J291" s="19">
        <v>0.22899999999999998</v>
      </c>
      <c r="K291" s="20">
        <v>5.32</v>
      </c>
      <c r="L291" s="17">
        <v>0.40500000000000003</v>
      </c>
      <c r="M291" s="17">
        <v>6</v>
      </c>
      <c r="N291" s="21">
        <v>293</v>
      </c>
      <c r="O291" s="17">
        <v>16.600000000000001</v>
      </c>
      <c r="P291" s="22">
        <v>6.5650000000000004</v>
      </c>
      <c r="Q291" s="23">
        <v>9.51</v>
      </c>
      <c r="R291" s="1">
        <v>24800</v>
      </c>
    </row>
    <row r="292" spans="1:18">
      <c r="A292" s="23">
        <v>3.33</v>
      </c>
      <c r="B292" s="17">
        <f t="shared" si="4"/>
        <v>28500</v>
      </c>
      <c r="C292" s="17">
        <v>28.5</v>
      </c>
      <c r="E292" s="23">
        <v>3.33</v>
      </c>
      <c r="F292" s="22">
        <v>6.8609999999999998</v>
      </c>
      <c r="G292" s="1">
        <v>28500</v>
      </c>
      <c r="I292" s="24">
        <v>0.53</v>
      </c>
      <c r="J292" s="19">
        <v>0.27899999999999997</v>
      </c>
      <c r="K292" s="20">
        <v>4.95</v>
      </c>
      <c r="L292" s="17">
        <v>0.41099999999999998</v>
      </c>
      <c r="M292" s="17">
        <v>4</v>
      </c>
      <c r="N292" s="21">
        <v>245</v>
      </c>
      <c r="O292" s="17">
        <v>19.2</v>
      </c>
      <c r="P292" s="22">
        <v>6.8609999999999998</v>
      </c>
      <c r="Q292" s="23">
        <v>3.33</v>
      </c>
      <c r="R292" s="1">
        <v>28500</v>
      </c>
    </row>
    <row r="293" spans="1:18">
      <c r="A293" s="23">
        <v>3.56</v>
      </c>
      <c r="B293" s="17">
        <f t="shared" si="4"/>
        <v>37300</v>
      </c>
      <c r="C293" s="17">
        <v>37.299999999999997</v>
      </c>
      <c r="E293" s="23">
        <v>3.56</v>
      </c>
      <c r="F293" s="22">
        <v>7.1479999999999997</v>
      </c>
      <c r="G293" s="1">
        <v>37300</v>
      </c>
      <c r="I293" s="24">
        <v>5.91</v>
      </c>
      <c r="J293" s="19">
        <v>0.27700000000000002</v>
      </c>
      <c r="K293" s="20">
        <v>4.95</v>
      </c>
      <c r="L293" s="17">
        <v>0.41099999999999998</v>
      </c>
      <c r="M293" s="17">
        <v>4</v>
      </c>
      <c r="N293" s="21">
        <v>245</v>
      </c>
      <c r="O293" s="17">
        <v>19.2</v>
      </c>
      <c r="P293" s="22">
        <v>7.1479999999999997</v>
      </c>
      <c r="Q293" s="23">
        <v>3.56</v>
      </c>
      <c r="R293" s="1">
        <v>37300</v>
      </c>
    </row>
    <row r="294" spans="1:18">
      <c r="A294" s="23">
        <v>4.7</v>
      </c>
      <c r="B294" s="17">
        <f t="shared" si="4"/>
        <v>27900</v>
      </c>
      <c r="C294" s="17">
        <v>27.9</v>
      </c>
      <c r="E294" s="23">
        <v>4.7</v>
      </c>
      <c r="F294" s="22">
        <v>6.63</v>
      </c>
      <c r="G294" s="1">
        <v>27900</v>
      </c>
      <c r="I294" s="24">
        <v>4.96</v>
      </c>
      <c r="J294" s="19">
        <v>0.23399999999999999</v>
      </c>
      <c r="K294" s="20">
        <v>4.95</v>
      </c>
      <c r="L294" s="17">
        <v>0.41099999999999998</v>
      </c>
      <c r="M294" s="17">
        <v>4</v>
      </c>
      <c r="N294" s="21">
        <v>245</v>
      </c>
      <c r="O294" s="17">
        <v>19.2</v>
      </c>
      <c r="P294" s="22">
        <v>6.63</v>
      </c>
      <c r="Q294" s="23">
        <v>4.7</v>
      </c>
      <c r="R294" s="1">
        <v>27900</v>
      </c>
    </row>
    <row r="295" spans="1:18">
      <c r="A295" s="23">
        <v>8.58</v>
      </c>
      <c r="B295" s="17">
        <f t="shared" si="4"/>
        <v>23900</v>
      </c>
      <c r="C295" s="17">
        <v>23.9</v>
      </c>
      <c r="E295" s="23">
        <v>8.58</v>
      </c>
      <c r="F295" s="22">
        <v>6.1269999999999998</v>
      </c>
      <c r="G295" s="1">
        <v>23900</v>
      </c>
      <c r="I295" s="24">
        <v>5.63</v>
      </c>
      <c r="J295" s="19">
        <v>0.184</v>
      </c>
      <c r="K295" s="20">
        <v>13.92</v>
      </c>
      <c r="L295" s="17">
        <v>0.437</v>
      </c>
      <c r="M295" s="17">
        <v>4</v>
      </c>
      <c r="N295" s="21">
        <v>289</v>
      </c>
      <c r="O295" s="17">
        <v>16</v>
      </c>
      <c r="P295" s="22">
        <v>6.1269999999999998</v>
      </c>
      <c r="Q295" s="23">
        <v>8.58</v>
      </c>
      <c r="R295" s="1">
        <v>23900</v>
      </c>
    </row>
    <row r="296" spans="1:18">
      <c r="A296" s="23">
        <v>10.4</v>
      </c>
      <c r="B296" s="17">
        <f t="shared" si="4"/>
        <v>21700</v>
      </c>
      <c r="C296" s="17">
        <v>21.7</v>
      </c>
      <c r="E296" s="23">
        <v>10.4</v>
      </c>
      <c r="F296" s="22">
        <v>6.0090000000000003</v>
      </c>
      <c r="G296" s="1">
        <v>21700</v>
      </c>
      <c r="I296" s="24">
        <v>5.45</v>
      </c>
      <c r="J296" s="19">
        <v>0.42299999999999999</v>
      </c>
      <c r="K296" s="20">
        <v>13.92</v>
      </c>
      <c r="L296" s="17">
        <v>0.437</v>
      </c>
      <c r="M296" s="17">
        <v>4</v>
      </c>
      <c r="N296" s="21">
        <v>289</v>
      </c>
      <c r="O296" s="17">
        <v>16</v>
      </c>
      <c r="P296" s="22">
        <v>6.0090000000000003</v>
      </c>
      <c r="Q296" s="23">
        <v>10.4</v>
      </c>
      <c r="R296" s="1">
        <v>21700</v>
      </c>
    </row>
    <row r="297" spans="1:18">
      <c r="A297" s="23">
        <v>6.27</v>
      </c>
      <c r="B297" s="17">
        <f t="shared" si="4"/>
        <v>28600</v>
      </c>
      <c r="C297" s="17">
        <v>28.6</v>
      </c>
      <c r="E297" s="23">
        <v>6.27</v>
      </c>
      <c r="F297" s="22">
        <v>6.6779999999999999</v>
      </c>
      <c r="G297" s="1">
        <v>28600</v>
      </c>
      <c r="I297" s="24">
        <v>3.62</v>
      </c>
      <c r="J297" s="19">
        <v>0.311</v>
      </c>
      <c r="K297" s="20">
        <v>13.92</v>
      </c>
      <c r="L297" s="17">
        <v>0.437</v>
      </c>
      <c r="M297" s="17">
        <v>4</v>
      </c>
      <c r="N297" s="21">
        <v>289</v>
      </c>
      <c r="O297" s="17">
        <v>16</v>
      </c>
      <c r="P297" s="22">
        <v>6.6779999999999999</v>
      </c>
      <c r="Q297" s="23">
        <v>6.27</v>
      </c>
      <c r="R297" s="1">
        <v>28600</v>
      </c>
    </row>
    <row r="298" spans="1:18">
      <c r="A298" s="23">
        <v>7.39</v>
      </c>
      <c r="B298" s="17">
        <f t="shared" si="4"/>
        <v>27100</v>
      </c>
      <c r="C298" s="17">
        <v>27.1</v>
      </c>
      <c r="E298" s="23">
        <v>7.39</v>
      </c>
      <c r="F298" s="22">
        <v>6.5490000000000004</v>
      </c>
      <c r="G298" s="1">
        <v>27100</v>
      </c>
      <c r="I298" s="24">
        <v>6.58</v>
      </c>
      <c r="J298" s="19">
        <v>0.51</v>
      </c>
      <c r="K298" s="20">
        <v>13.92</v>
      </c>
      <c r="L298" s="17">
        <v>0.437</v>
      </c>
      <c r="M298" s="17">
        <v>4</v>
      </c>
      <c r="N298" s="21">
        <v>289</v>
      </c>
      <c r="O298" s="17">
        <v>16</v>
      </c>
      <c r="P298" s="22">
        <v>6.5490000000000004</v>
      </c>
      <c r="Q298" s="23">
        <v>7.39</v>
      </c>
      <c r="R298" s="1">
        <v>27100</v>
      </c>
    </row>
    <row r="299" spans="1:18">
      <c r="A299" s="23">
        <v>15.84</v>
      </c>
      <c r="B299" s="17">
        <f t="shared" si="4"/>
        <v>20300</v>
      </c>
      <c r="C299" s="17">
        <v>20.3</v>
      </c>
      <c r="E299" s="23">
        <v>15.84</v>
      </c>
      <c r="F299" s="22">
        <v>5.79</v>
      </c>
      <c r="G299" s="1">
        <v>20300</v>
      </c>
      <c r="I299" s="24">
        <v>0.67</v>
      </c>
      <c r="J299" s="19">
        <v>0.57999999999999996</v>
      </c>
      <c r="K299" s="20">
        <v>13.92</v>
      </c>
      <c r="L299" s="17">
        <v>0.437</v>
      </c>
      <c r="M299" s="17">
        <v>4</v>
      </c>
      <c r="N299" s="21">
        <v>289</v>
      </c>
      <c r="O299" s="17">
        <v>16</v>
      </c>
      <c r="P299" s="22">
        <v>5.79</v>
      </c>
      <c r="Q299" s="23">
        <v>15.84</v>
      </c>
      <c r="R299" s="1">
        <v>20300</v>
      </c>
    </row>
    <row r="300" spans="1:18">
      <c r="A300" s="23">
        <v>4.97</v>
      </c>
      <c r="B300" s="17">
        <f t="shared" si="4"/>
        <v>22500</v>
      </c>
      <c r="C300" s="17">
        <v>22.5</v>
      </c>
      <c r="E300" s="23">
        <v>4.97</v>
      </c>
      <c r="F300" s="22">
        <v>6.3449999999999998</v>
      </c>
      <c r="G300" s="1">
        <v>22500</v>
      </c>
      <c r="I300" s="24">
        <v>2.0699999999999998</v>
      </c>
      <c r="J300" s="19">
        <v>0.20100000000000001</v>
      </c>
      <c r="K300" s="20">
        <v>2.2400000000000002</v>
      </c>
      <c r="L300" s="17">
        <v>0.4</v>
      </c>
      <c r="M300" s="17">
        <v>5</v>
      </c>
      <c r="N300" s="21">
        <v>358</v>
      </c>
      <c r="O300" s="17">
        <v>14.8</v>
      </c>
      <c r="P300" s="22">
        <v>6.3449999999999998</v>
      </c>
      <c r="Q300" s="23">
        <v>4.97</v>
      </c>
      <c r="R300" s="1">
        <v>22500</v>
      </c>
    </row>
    <row r="301" spans="1:18">
      <c r="A301" s="23">
        <v>4.74</v>
      </c>
      <c r="B301" s="17">
        <f t="shared" si="4"/>
        <v>29000</v>
      </c>
      <c r="C301" s="17">
        <v>29</v>
      </c>
      <c r="E301" s="23">
        <v>4.74</v>
      </c>
      <c r="F301" s="22">
        <v>7.0410000000000004</v>
      </c>
      <c r="G301" s="1">
        <v>29000</v>
      </c>
      <c r="I301" s="24">
        <v>0.84</v>
      </c>
      <c r="J301" s="19">
        <v>0.1</v>
      </c>
      <c r="K301" s="20">
        <v>2.2400000000000002</v>
      </c>
      <c r="L301" s="17">
        <v>0.4</v>
      </c>
      <c r="M301" s="17">
        <v>5</v>
      </c>
      <c r="N301" s="21">
        <v>358</v>
      </c>
      <c r="O301" s="17">
        <v>14.8</v>
      </c>
      <c r="P301" s="22">
        <v>7.0410000000000004</v>
      </c>
      <c r="Q301" s="23">
        <v>4.74</v>
      </c>
      <c r="R301" s="1">
        <v>29000</v>
      </c>
    </row>
    <row r="302" spans="1:18">
      <c r="A302" s="23">
        <v>6.07</v>
      </c>
      <c r="B302" s="17">
        <f t="shared" si="4"/>
        <v>24800</v>
      </c>
      <c r="C302" s="17">
        <v>24.8</v>
      </c>
      <c r="E302" s="23">
        <v>6.07</v>
      </c>
      <c r="F302" s="22">
        <v>6.8710000000000004</v>
      </c>
      <c r="G302" s="1">
        <v>24800</v>
      </c>
      <c r="I302" s="24">
        <v>4.17</v>
      </c>
      <c r="J302" s="19">
        <v>0.47399999999999998</v>
      </c>
      <c r="K302" s="20">
        <v>2.2400000000000002</v>
      </c>
      <c r="L302" s="17">
        <v>0.4</v>
      </c>
      <c r="M302" s="17">
        <v>5</v>
      </c>
      <c r="N302" s="21">
        <v>358</v>
      </c>
      <c r="O302" s="17">
        <v>14.8</v>
      </c>
      <c r="P302" s="22">
        <v>6.8710000000000004</v>
      </c>
      <c r="Q302" s="23">
        <v>6.07</v>
      </c>
      <c r="R302" s="1">
        <v>24800</v>
      </c>
    </row>
    <row r="303" spans="1:18">
      <c r="A303" s="23">
        <v>9.5</v>
      </c>
      <c r="B303" s="17">
        <f t="shared" si="4"/>
        <v>22000</v>
      </c>
      <c r="C303" s="17">
        <v>22</v>
      </c>
      <c r="E303" s="23">
        <v>9.5</v>
      </c>
      <c r="F303" s="22">
        <v>6.59</v>
      </c>
      <c r="G303" s="1">
        <v>22000</v>
      </c>
      <c r="I303" s="24">
        <v>0.12</v>
      </c>
      <c r="J303" s="19">
        <v>0.40399999999999997</v>
      </c>
      <c r="K303" s="20">
        <v>6.09</v>
      </c>
      <c r="L303" s="17">
        <v>0.433</v>
      </c>
      <c r="M303" s="17">
        <v>7</v>
      </c>
      <c r="N303" s="21">
        <v>329</v>
      </c>
      <c r="O303" s="17">
        <v>16.100000000000001</v>
      </c>
      <c r="P303" s="22">
        <v>6.59</v>
      </c>
      <c r="Q303" s="23">
        <v>9.5</v>
      </c>
      <c r="R303" s="1">
        <v>22000</v>
      </c>
    </row>
    <row r="304" spans="1:18">
      <c r="A304" s="23">
        <v>8.67</v>
      </c>
      <c r="B304" s="17">
        <f t="shared" si="4"/>
        <v>26400</v>
      </c>
      <c r="C304" s="17">
        <v>26.4</v>
      </c>
      <c r="E304" s="23">
        <v>8.67</v>
      </c>
      <c r="F304" s="22">
        <v>6.4950000000000001</v>
      </c>
      <c r="G304" s="1">
        <v>26400</v>
      </c>
      <c r="I304" s="24">
        <v>2.06</v>
      </c>
      <c r="J304" s="19">
        <v>0.184</v>
      </c>
      <c r="K304" s="20">
        <v>6.09</v>
      </c>
      <c r="L304" s="17">
        <v>0.433</v>
      </c>
      <c r="M304" s="17">
        <v>7</v>
      </c>
      <c r="N304" s="21">
        <v>329</v>
      </c>
      <c r="O304" s="17">
        <v>16.100000000000001</v>
      </c>
      <c r="P304" s="22">
        <v>6.4950000000000001</v>
      </c>
      <c r="Q304" s="23">
        <v>8.67</v>
      </c>
      <c r="R304" s="1">
        <v>26400</v>
      </c>
    </row>
    <row r="305" spans="1:18">
      <c r="A305" s="23">
        <v>4.8600000000000003</v>
      </c>
      <c r="B305" s="17">
        <f t="shared" si="4"/>
        <v>33100</v>
      </c>
      <c r="C305" s="17">
        <v>33.1</v>
      </c>
      <c r="E305" s="23">
        <v>4.8600000000000003</v>
      </c>
      <c r="F305" s="22">
        <v>6.9820000000000002</v>
      </c>
      <c r="G305" s="1">
        <v>33100</v>
      </c>
      <c r="I305" s="24">
        <v>4.4800000000000004</v>
      </c>
      <c r="J305" s="19">
        <v>0.17699999999999999</v>
      </c>
      <c r="K305" s="20">
        <v>6.09</v>
      </c>
      <c r="L305" s="17">
        <v>0.433</v>
      </c>
      <c r="M305" s="17">
        <v>7</v>
      </c>
      <c r="N305" s="21">
        <v>329</v>
      </c>
      <c r="O305" s="17">
        <v>16.100000000000001</v>
      </c>
      <c r="P305" s="22">
        <v>6.9820000000000002</v>
      </c>
      <c r="Q305" s="23">
        <v>4.8600000000000003</v>
      </c>
      <c r="R305" s="1">
        <v>33100</v>
      </c>
    </row>
    <row r="306" spans="1:18">
      <c r="A306" s="23">
        <v>6.93</v>
      </c>
      <c r="B306" s="17">
        <f t="shared" si="4"/>
        <v>36100</v>
      </c>
      <c r="C306" s="17">
        <v>36.1</v>
      </c>
      <c r="E306" s="23">
        <v>6.93</v>
      </c>
      <c r="F306" s="22">
        <v>7.2359999999999998</v>
      </c>
      <c r="G306" s="1">
        <v>36100</v>
      </c>
      <c r="I306" s="24">
        <v>6.45</v>
      </c>
      <c r="J306" s="19">
        <v>0.41100000000000003</v>
      </c>
      <c r="K306" s="20">
        <v>2.1800000000000002</v>
      </c>
      <c r="L306" s="17">
        <v>0.47199999999999998</v>
      </c>
      <c r="M306" s="17">
        <v>7</v>
      </c>
      <c r="N306" s="21">
        <v>222</v>
      </c>
      <c r="O306" s="17">
        <v>18.399999999999999</v>
      </c>
      <c r="P306" s="22">
        <v>7.2359999999999998</v>
      </c>
      <c r="Q306" s="23">
        <v>6.93</v>
      </c>
      <c r="R306" s="1">
        <v>36100</v>
      </c>
    </row>
    <row r="307" spans="1:18">
      <c r="A307" s="23">
        <v>8.93</v>
      </c>
      <c r="B307" s="17">
        <f t="shared" si="4"/>
        <v>28400</v>
      </c>
      <c r="C307" s="17">
        <v>28.4</v>
      </c>
      <c r="E307" s="23">
        <v>8.93</v>
      </c>
      <c r="F307" s="22">
        <v>6.6159999999999997</v>
      </c>
      <c r="G307" s="1">
        <v>28400</v>
      </c>
      <c r="I307" s="24">
        <v>5.0599999999999996</v>
      </c>
      <c r="J307" s="19">
        <v>0.58100000000000007</v>
      </c>
      <c r="K307" s="20">
        <v>2.1800000000000002</v>
      </c>
      <c r="L307" s="17">
        <v>0.47199999999999998</v>
      </c>
      <c r="M307" s="17">
        <v>7</v>
      </c>
      <c r="N307" s="21">
        <v>222</v>
      </c>
      <c r="O307" s="17">
        <v>18.399999999999999</v>
      </c>
      <c r="P307" s="22">
        <v>6.6159999999999997</v>
      </c>
      <c r="Q307" s="23">
        <v>8.93</v>
      </c>
      <c r="R307" s="1">
        <v>28400</v>
      </c>
    </row>
    <row r="308" spans="1:18">
      <c r="A308" s="23">
        <v>6.47</v>
      </c>
      <c r="B308" s="17">
        <f t="shared" si="4"/>
        <v>33400</v>
      </c>
      <c r="C308" s="17">
        <v>33.4</v>
      </c>
      <c r="E308" s="23">
        <v>6.47</v>
      </c>
      <c r="F308" s="22">
        <v>7.42</v>
      </c>
      <c r="G308" s="1">
        <v>33400</v>
      </c>
      <c r="I308" s="24">
        <v>3.58</v>
      </c>
      <c r="J308" s="19">
        <v>0.71900000000000008</v>
      </c>
      <c r="K308" s="20">
        <v>2.1800000000000002</v>
      </c>
      <c r="L308" s="17">
        <v>0.47199999999999998</v>
      </c>
      <c r="M308" s="17">
        <v>7</v>
      </c>
      <c r="N308" s="21">
        <v>222</v>
      </c>
      <c r="O308" s="17">
        <v>18.399999999999999</v>
      </c>
      <c r="P308" s="22">
        <v>7.42</v>
      </c>
      <c r="Q308" s="23">
        <v>6.47</v>
      </c>
      <c r="R308" s="1">
        <v>33400</v>
      </c>
    </row>
    <row r="309" spans="1:18">
      <c r="A309" s="23">
        <v>7.53</v>
      </c>
      <c r="B309" s="17">
        <f t="shared" si="4"/>
        <v>28200</v>
      </c>
      <c r="C309" s="17">
        <v>28.2</v>
      </c>
      <c r="E309" s="23">
        <v>7.53</v>
      </c>
      <c r="F309" s="22">
        <v>6.8490000000000002</v>
      </c>
      <c r="G309" s="1">
        <v>28200</v>
      </c>
      <c r="I309" s="24">
        <v>7.98</v>
      </c>
      <c r="J309" s="19">
        <v>0.70299999999999996</v>
      </c>
      <c r="K309" s="20">
        <v>2.1800000000000002</v>
      </c>
      <c r="L309" s="17">
        <v>0.47199999999999998</v>
      </c>
      <c r="M309" s="17">
        <v>7</v>
      </c>
      <c r="N309" s="21">
        <v>222</v>
      </c>
      <c r="O309" s="17">
        <v>18.399999999999999</v>
      </c>
      <c r="P309" s="22">
        <v>6.8490000000000002</v>
      </c>
      <c r="Q309" s="23">
        <v>7.53</v>
      </c>
      <c r="R309" s="1">
        <v>28200</v>
      </c>
    </row>
    <row r="310" spans="1:18">
      <c r="A310" s="23">
        <v>4.54</v>
      </c>
      <c r="B310" s="17">
        <f t="shared" si="4"/>
        <v>22800</v>
      </c>
      <c r="C310" s="17">
        <v>22.8</v>
      </c>
      <c r="E310" s="23">
        <v>4.54</v>
      </c>
      <c r="F310" s="22">
        <v>6.6349999999999998</v>
      </c>
      <c r="G310" s="1">
        <v>22800</v>
      </c>
      <c r="I310" s="24">
        <v>5.79</v>
      </c>
      <c r="J310" s="19">
        <v>0.82500000000000007</v>
      </c>
      <c r="K310" s="20">
        <v>9.9</v>
      </c>
      <c r="L310" s="17">
        <v>0.54400000000000004</v>
      </c>
      <c r="M310" s="17">
        <v>4</v>
      </c>
      <c r="N310" s="21">
        <v>304</v>
      </c>
      <c r="O310" s="17">
        <v>18.399999999999999</v>
      </c>
      <c r="P310" s="22">
        <v>6.6349999999999998</v>
      </c>
      <c r="Q310" s="23">
        <v>4.54</v>
      </c>
      <c r="R310" s="1">
        <v>22800</v>
      </c>
    </row>
    <row r="311" spans="1:18">
      <c r="A311" s="23">
        <v>9.9700000000000006</v>
      </c>
      <c r="B311" s="17">
        <f t="shared" si="4"/>
        <v>20300</v>
      </c>
      <c r="C311" s="17">
        <v>20.3</v>
      </c>
      <c r="E311" s="23">
        <v>9.9700000000000006</v>
      </c>
      <c r="F311" s="22">
        <v>5.9720000000000004</v>
      </c>
      <c r="G311" s="1">
        <v>20300</v>
      </c>
      <c r="I311" s="24">
        <v>4.8600000000000003</v>
      </c>
      <c r="J311" s="19">
        <v>0.76700000000000002</v>
      </c>
      <c r="K311" s="20">
        <v>9.9</v>
      </c>
      <c r="L311" s="17">
        <v>0.54400000000000004</v>
      </c>
      <c r="M311" s="17">
        <v>4</v>
      </c>
      <c r="N311" s="21">
        <v>304</v>
      </c>
      <c r="O311" s="17">
        <v>18.399999999999999</v>
      </c>
      <c r="P311" s="22">
        <v>5.9720000000000004</v>
      </c>
      <c r="Q311" s="23">
        <v>9.9700000000000006</v>
      </c>
      <c r="R311" s="1">
        <v>20300</v>
      </c>
    </row>
    <row r="312" spans="1:18">
      <c r="A312" s="23">
        <v>12.64</v>
      </c>
      <c r="B312" s="17">
        <f t="shared" si="4"/>
        <v>16100.000000000002</v>
      </c>
      <c r="C312" s="17">
        <v>16.100000000000001</v>
      </c>
      <c r="E312" s="23">
        <v>12.64</v>
      </c>
      <c r="F312" s="22">
        <v>4.9729999999999999</v>
      </c>
      <c r="G312" s="1">
        <v>16100.000000000002</v>
      </c>
      <c r="I312" s="24">
        <v>4.6100000000000003</v>
      </c>
      <c r="J312" s="19">
        <v>0.378</v>
      </c>
      <c r="K312" s="20">
        <v>9.9</v>
      </c>
      <c r="L312" s="17">
        <v>0.54400000000000004</v>
      </c>
      <c r="M312" s="17">
        <v>4</v>
      </c>
      <c r="N312" s="21">
        <v>304</v>
      </c>
      <c r="O312" s="17">
        <v>18.399999999999999</v>
      </c>
      <c r="P312" s="22">
        <v>4.9729999999999999</v>
      </c>
      <c r="Q312" s="23">
        <v>12.64</v>
      </c>
      <c r="R312" s="1">
        <v>16100.000000000002</v>
      </c>
    </row>
    <row r="313" spans="1:18">
      <c r="A313" s="23">
        <v>5.98</v>
      </c>
      <c r="B313" s="17">
        <f t="shared" si="4"/>
        <v>22100</v>
      </c>
      <c r="C313" s="17">
        <v>22.1</v>
      </c>
      <c r="E313" s="23">
        <v>5.98</v>
      </c>
      <c r="F313" s="22">
        <v>6.1219999999999999</v>
      </c>
      <c r="G313" s="1">
        <v>22100</v>
      </c>
      <c r="I313" s="24">
        <v>1.49</v>
      </c>
      <c r="J313" s="19">
        <v>0.52800000000000002</v>
      </c>
      <c r="K313" s="20">
        <v>9.9</v>
      </c>
      <c r="L313" s="17">
        <v>0.54400000000000004</v>
      </c>
      <c r="M313" s="17">
        <v>4</v>
      </c>
      <c r="N313" s="21">
        <v>304</v>
      </c>
      <c r="O313" s="17">
        <v>18.399999999999999</v>
      </c>
      <c r="P313" s="22">
        <v>6.1219999999999999</v>
      </c>
      <c r="Q313" s="23">
        <v>5.98</v>
      </c>
      <c r="R313" s="1">
        <v>22100</v>
      </c>
    </row>
    <row r="314" spans="1:18">
      <c r="A314" s="23">
        <v>11.72</v>
      </c>
      <c r="B314" s="17">
        <f t="shared" si="4"/>
        <v>19400</v>
      </c>
      <c r="C314" s="17">
        <v>19.399999999999999</v>
      </c>
      <c r="E314" s="23">
        <v>11.72</v>
      </c>
      <c r="F314" s="22">
        <v>6.0229999999999997</v>
      </c>
      <c r="G314" s="1">
        <v>19400</v>
      </c>
      <c r="I314" s="24">
        <v>9.4</v>
      </c>
      <c r="J314" s="19">
        <v>0.90400000000000003</v>
      </c>
      <c r="K314" s="20">
        <v>9.9</v>
      </c>
      <c r="L314" s="17">
        <v>0.54400000000000004</v>
      </c>
      <c r="M314" s="17">
        <v>4</v>
      </c>
      <c r="N314" s="21">
        <v>304</v>
      </c>
      <c r="O314" s="17">
        <v>18.399999999999999</v>
      </c>
      <c r="P314" s="22">
        <v>6.0229999999999997</v>
      </c>
      <c r="Q314" s="23">
        <v>11.72</v>
      </c>
      <c r="R314" s="1">
        <v>19400</v>
      </c>
    </row>
    <row r="315" spans="1:18">
      <c r="A315" s="23">
        <v>7.9</v>
      </c>
      <c r="B315" s="17">
        <f t="shared" si="4"/>
        <v>21600</v>
      </c>
      <c r="C315" s="17">
        <v>21.6</v>
      </c>
      <c r="E315" s="23">
        <v>7.9</v>
      </c>
      <c r="F315" s="22">
        <v>6.266</v>
      </c>
      <c r="G315" s="1">
        <v>21600</v>
      </c>
      <c r="I315" s="24">
        <v>6.84</v>
      </c>
      <c r="J315" s="19">
        <v>0.82799999999999996</v>
      </c>
      <c r="K315" s="20">
        <v>9.9</v>
      </c>
      <c r="L315" s="17">
        <v>0.54400000000000004</v>
      </c>
      <c r="M315" s="17">
        <v>4</v>
      </c>
      <c r="N315" s="21">
        <v>304</v>
      </c>
      <c r="O315" s="17">
        <v>18.399999999999999</v>
      </c>
      <c r="P315" s="22">
        <v>6.266</v>
      </c>
      <c r="Q315" s="23">
        <v>7.9</v>
      </c>
      <c r="R315" s="1">
        <v>21600</v>
      </c>
    </row>
    <row r="316" spans="1:18">
      <c r="A316" s="23">
        <v>9.2799999999999994</v>
      </c>
      <c r="B316" s="17">
        <f t="shared" si="4"/>
        <v>23800</v>
      </c>
      <c r="C316" s="17">
        <v>23.8</v>
      </c>
      <c r="E316" s="23">
        <v>9.2799999999999994</v>
      </c>
      <c r="F316" s="22">
        <v>6.5670000000000002</v>
      </c>
      <c r="G316" s="1">
        <v>23800</v>
      </c>
      <c r="I316" s="24">
        <v>1.57</v>
      </c>
      <c r="J316" s="19">
        <v>0.873</v>
      </c>
      <c r="K316" s="20">
        <v>9.9</v>
      </c>
      <c r="L316" s="17">
        <v>0.54400000000000004</v>
      </c>
      <c r="M316" s="17">
        <v>4</v>
      </c>
      <c r="N316" s="21">
        <v>304</v>
      </c>
      <c r="O316" s="17">
        <v>18.399999999999999</v>
      </c>
      <c r="P316" s="22">
        <v>6.5670000000000002</v>
      </c>
      <c r="Q316" s="23">
        <v>9.2799999999999994</v>
      </c>
      <c r="R316" s="1">
        <v>23800</v>
      </c>
    </row>
    <row r="317" spans="1:18">
      <c r="A317" s="23">
        <v>11.5</v>
      </c>
      <c r="B317" s="17">
        <f t="shared" si="4"/>
        <v>16200</v>
      </c>
      <c r="C317" s="17">
        <v>16.2</v>
      </c>
      <c r="E317" s="23">
        <v>11.5</v>
      </c>
      <c r="F317" s="22">
        <v>5.7050000000000001</v>
      </c>
      <c r="G317" s="1">
        <v>16200</v>
      </c>
      <c r="I317" s="24">
        <v>0.85</v>
      </c>
      <c r="J317" s="19">
        <v>0.77700000000000002</v>
      </c>
      <c r="K317" s="20">
        <v>9.9</v>
      </c>
      <c r="L317" s="17">
        <v>0.54400000000000004</v>
      </c>
      <c r="M317" s="17">
        <v>4</v>
      </c>
      <c r="N317" s="21">
        <v>304</v>
      </c>
      <c r="O317" s="17">
        <v>18.399999999999999</v>
      </c>
      <c r="P317" s="22">
        <v>5.7050000000000001</v>
      </c>
      <c r="Q317" s="23">
        <v>11.5</v>
      </c>
      <c r="R317" s="1">
        <v>16200</v>
      </c>
    </row>
    <row r="318" spans="1:18">
      <c r="A318" s="23">
        <v>18.329999999999998</v>
      </c>
      <c r="B318" s="17">
        <f t="shared" si="4"/>
        <v>17800</v>
      </c>
      <c r="C318" s="17">
        <v>17.8</v>
      </c>
      <c r="E318" s="23">
        <v>18.329999999999998</v>
      </c>
      <c r="F318" s="22">
        <v>5.9139999999999997</v>
      </c>
      <c r="G318" s="1">
        <v>17800</v>
      </c>
      <c r="I318" s="24">
        <v>8.91</v>
      </c>
      <c r="J318" s="19">
        <v>0.83200000000000007</v>
      </c>
      <c r="K318" s="20">
        <v>9.9</v>
      </c>
      <c r="L318" s="17">
        <v>0.54400000000000004</v>
      </c>
      <c r="M318" s="17">
        <v>4</v>
      </c>
      <c r="N318" s="21">
        <v>304</v>
      </c>
      <c r="O318" s="17">
        <v>18.399999999999999</v>
      </c>
      <c r="P318" s="22">
        <v>5.9139999999999997</v>
      </c>
      <c r="Q318" s="23">
        <v>18.329999999999998</v>
      </c>
      <c r="R318" s="1">
        <v>17800</v>
      </c>
    </row>
    <row r="319" spans="1:18">
      <c r="A319" s="23">
        <v>15.94</v>
      </c>
      <c r="B319" s="17">
        <f t="shared" si="4"/>
        <v>19800</v>
      </c>
      <c r="C319" s="17">
        <v>19.8</v>
      </c>
      <c r="E319" s="23">
        <v>15.94</v>
      </c>
      <c r="F319" s="22">
        <v>5.782</v>
      </c>
      <c r="G319" s="1">
        <v>19800</v>
      </c>
      <c r="I319" s="24">
        <v>5.09</v>
      </c>
      <c r="J319" s="19">
        <v>0.71700000000000008</v>
      </c>
      <c r="K319" s="20">
        <v>9.9</v>
      </c>
      <c r="L319" s="17">
        <v>0.54400000000000004</v>
      </c>
      <c r="M319" s="17">
        <v>4</v>
      </c>
      <c r="N319" s="21">
        <v>304</v>
      </c>
      <c r="O319" s="17">
        <v>18.399999999999999</v>
      </c>
      <c r="P319" s="22">
        <v>5.782</v>
      </c>
      <c r="Q319" s="23">
        <v>15.94</v>
      </c>
      <c r="R319" s="1">
        <v>19800</v>
      </c>
    </row>
    <row r="320" spans="1:18">
      <c r="A320" s="23">
        <v>10.36</v>
      </c>
      <c r="B320" s="17">
        <f t="shared" si="4"/>
        <v>23100</v>
      </c>
      <c r="C320" s="17">
        <v>23.1</v>
      </c>
      <c r="E320" s="23">
        <v>10.36</v>
      </c>
      <c r="F320" s="22">
        <v>6.3819999999999997</v>
      </c>
      <c r="G320" s="1">
        <v>23100</v>
      </c>
      <c r="I320" s="24">
        <v>5.8</v>
      </c>
      <c r="J320" s="19">
        <v>0.67200000000000004</v>
      </c>
      <c r="K320" s="20">
        <v>9.9</v>
      </c>
      <c r="L320" s="17">
        <v>0.54400000000000004</v>
      </c>
      <c r="M320" s="17">
        <v>4</v>
      </c>
      <c r="N320" s="21">
        <v>304</v>
      </c>
      <c r="O320" s="17">
        <v>18.399999999999999</v>
      </c>
      <c r="P320" s="22">
        <v>6.3819999999999997</v>
      </c>
      <c r="Q320" s="23">
        <v>10.36</v>
      </c>
      <c r="R320" s="1">
        <v>23100</v>
      </c>
    </row>
    <row r="321" spans="1:18">
      <c r="A321" s="23">
        <v>12.73</v>
      </c>
      <c r="B321" s="17">
        <f t="shared" si="4"/>
        <v>21000</v>
      </c>
      <c r="C321" s="17">
        <v>21</v>
      </c>
      <c r="E321" s="23">
        <v>12.73</v>
      </c>
      <c r="F321" s="22">
        <v>6.1130000000000004</v>
      </c>
      <c r="G321" s="1">
        <v>21000</v>
      </c>
      <c r="I321" s="24">
        <v>4.82</v>
      </c>
      <c r="J321" s="19">
        <v>0.58799999999999997</v>
      </c>
      <c r="K321" s="20">
        <v>9.9</v>
      </c>
      <c r="L321" s="17">
        <v>0.54400000000000004</v>
      </c>
      <c r="M321" s="17">
        <v>4</v>
      </c>
      <c r="N321" s="21">
        <v>304</v>
      </c>
      <c r="O321" s="17">
        <v>18.399999999999999</v>
      </c>
      <c r="P321" s="22">
        <v>6.1130000000000004</v>
      </c>
      <c r="Q321" s="23">
        <v>12.73</v>
      </c>
      <c r="R321" s="1">
        <v>21000</v>
      </c>
    </row>
    <row r="322" spans="1:18">
      <c r="A322" s="23">
        <v>7.2</v>
      </c>
      <c r="B322" s="17">
        <f t="shared" si="4"/>
        <v>23800</v>
      </c>
      <c r="C322" s="17">
        <v>23.8</v>
      </c>
      <c r="E322" s="23">
        <v>7.2</v>
      </c>
      <c r="F322" s="22">
        <v>6.4260000000000002</v>
      </c>
      <c r="G322" s="1">
        <v>23800</v>
      </c>
      <c r="I322" s="24">
        <v>9.57</v>
      </c>
      <c r="J322" s="19">
        <v>0.52300000000000002</v>
      </c>
      <c r="K322" s="20">
        <v>7.38</v>
      </c>
      <c r="L322" s="17">
        <v>0.49299999999999999</v>
      </c>
      <c r="M322" s="17">
        <v>5</v>
      </c>
      <c r="N322" s="21">
        <v>287</v>
      </c>
      <c r="O322" s="17">
        <v>19.600000000000001</v>
      </c>
      <c r="P322" s="22">
        <v>6.4260000000000002</v>
      </c>
      <c r="Q322" s="23">
        <v>7.2</v>
      </c>
      <c r="R322" s="1">
        <v>23800</v>
      </c>
    </row>
    <row r="323" spans="1:18">
      <c r="A323" s="23">
        <v>6.87</v>
      </c>
      <c r="B323" s="17">
        <f t="shared" ref="B323:B386" si="5">C323*1000</f>
        <v>23100</v>
      </c>
      <c r="C323" s="17">
        <v>23.1</v>
      </c>
      <c r="E323" s="23">
        <v>6.87</v>
      </c>
      <c r="F323" s="22">
        <v>6.3760000000000003</v>
      </c>
      <c r="G323" s="1">
        <v>23100</v>
      </c>
      <c r="I323" s="24">
        <v>8.92</v>
      </c>
      <c r="J323" s="19">
        <v>0.54300000000000004</v>
      </c>
      <c r="K323" s="20">
        <v>7.38</v>
      </c>
      <c r="L323" s="17">
        <v>0.49299999999999999</v>
      </c>
      <c r="M323" s="17">
        <v>5</v>
      </c>
      <c r="N323" s="21">
        <v>287</v>
      </c>
      <c r="O323" s="17">
        <v>19.600000000000001</v>
      </c>
      <c r="P323" s="22">
        <v>6.3760000000000003</v>
      </c>
      <c r="Q323" s="23">
        <v>6.87</v>
      </c>
      <c r="R323" s="1">
        <v>23100</v>
      </c>
    </row>
    <row r="324" spans="1:18">
      <c r="A324" s="23">
        <v>7.7</v>
      </c>
      <c r="B324" s="17">
        <f t="shared" si="5"/>
        <v>20400</v>
      </c>
      <c r="C324" s="17">
        <v>20.399999999999999</v>
      </c>
      <c r="E324" s="23">
        <v>7.7</v>
      </c>
      <c r="F324" s="22">
        <v>6.0410000000000004</v>
      </c>
      <c r="G324" s="1">
        <v>20400</v>
      </c>
      <c r="I324" s="24">
        <v>6.4</v>
      </c>
      <c r="J324" s="19">
        <v>0.499</v>
      </c>
      <c r="K324" s="20">
        <v>7.38</v>
      </c>
      <c r="L324" s="17">
        <v>0.49299999999999999</v>
      </c>
      <c r="M324" s="17">
        <v>5</v>
      </c>
      <c r="N324" s="21">
        <v>287</v>
      </c>
      <c r="O324" s="17">
        <v>19.600000000000001</v>
      </c>
      <c r="P324" s="22">
        <v>6.0410000000000004</v>
      </c>
      <c r="Q324" s="23">
        <v>7.7</v>
      </c>
      <c r="R324" s="1">
        <v>20400</v>
      </c>
    </row>
    <row r="325" spans="1:18">
      <c r="A325" s="23">
        <v>11.74</v>
      </c>
      <c r="B325" s="17">
        <f t="shared" si="5"/>
        <v>18500</v>
      </c>
      <c r="C325" s="17">
        <v>18.5</v>
      </c>
      <c r="E325" s="23">
        <v>11.74</v>
      </c>
      <c r="F325" s="22">
        <v>5.7080000000000002</v>
      </c>
      <c r="G325" s="1">
        <v>18500</v>
      </c>
      <c r="I325" s="24">
        <v>8.9</v>
      </c>
      <c r="J325" s="19">
        <v>0.74299999999999999</v>
      </c>
      <c r="K325" s="20">
        <v>7.38</v>
      </c>
      <c r="L325" s="17">
        <v>0.49299999999999999</v>
      </c>
      <c r="M325" s="17">
        <v>5</v>
      </c>
      <c r="N325" s="21">
        <v>287</v>
      </c>
      <c r="O325" s="17">
        <v>19.600000000000001</v>
      </c>
      <c r="P325" s="22">
        <v>5.7080000000000002</v>
      </c>
      <c r="Q325" s="23">
        <v>11.74</v>
      </c>
      <c r="R325" s="1">
        <v>18500</v>
      </c>
    </row>
    <row r="326" spans="1:18">
      <c r="A326" s="23">
        <v>6.12</v>
      </c>
      <c r="B326" s="17">
        <f t="shared" si="5"/>
        <v>25000</v>
      </c>
      <c r="C326" s="17">
        <v>25</v>
      </c>
      <c r="E326" s="23">
        <v>6.12</v>
      </c>
      <c r="F326" s="22">
        <v>6.415</v>
      </c>
      <c r="G326" s="1">
        <v>25000</v>
      </c>
      <c r="I326" s="24">
        <v>0.81</v>
      </c>
      <c r="J326" s="19">
        <v>0.40100000000000002</v>
      </c>
      <c r="K326" s="20">
        <v>7.38</v>
      </c>
      <c r="L326" s="17">
        <v>0.49299999999999999</v>
      </c>
      <c r="M326" s="17">
        <v>5</v>
      </c>
      <c r="N326" s="21">
        <v>287</v>
      </c>
      <c r="O326" s="17">
        <v>19.600000000000001</v>
      </c>
      <c r="P326" s="22">
        <v>6.415</v>
      </c>
      <c r="Q326" s="23">
        <v>6.12</v>
      </c>
      <c r="R326" s="1">
        <v>25000</v>
      </c>
    </row>
    <row r="327" spans="1:18">
      <c r="A327" s="23">
        <v>5.08</v>
      </c>
      <c r="B327" s="17">
        <f t="shared" si="5"/>
        <v>24600</v>
      </c>
      <c r="C327" s="17">
        <v>24.6</v>
      </c>
      <c r="E327" s="23">
        <v>5.08</v>
      </c>
      <c r="F327" s="22">
        <v>6.431</v>
      </c>
      <c r="G327" s="1">
        <v>24600</v>
      </c>
      <c r="I327" s="24">
        <v>0.52</v>
      </c>
      <c r="J327" s="19">
        <v>0.14699999999999999</v>
      </c>
      <c r="K327" s="20">
        <v>7.38</v>
      </c>
      <c r="L327" s="17">
        <v>0.49299999999999999</v>
      </c>
      <c r="M327" s="17">
        <v>5</v>
      </c>
      <c r="N327" s="21">
        <v>287</v>
      </c>
      <c r="O327" s="17">
        <v>19.600000000000001</v>
      </c>
      <c r="P327" s="22">
        <v>6.431</v>
      </c>
      <c r="Q327" s="23">
        <v>5.08</v>
      </c>
      <c r="R327" s="1">
        <v>24600</v>
      </c>
    </row>
    <row r="328" spans="1:18">
      <c r="A328" s="23">
        <v>6.15</v>
      </c>
      <c r="B328" s="17">
        <f t="shared" si="5"/>
        <v>23000</v>
      </c>
      <c r="C328" s="17">
        <v>23</v>
      </c>
      <c r="E328" s="23">
        <v>6.15</v>
      </c>
      <c r="F328" s="22">
        <v>6.3120000000000003</v>
      </c>
      <c r="G328" s="1">
        <v>23000</v>
      </c>
      <c r="I328" s="24">
        <v>7.76</v>
      </c>
      <c r="J328" s="19">
        <v>0.28899999999999998</v>
      </c>
      <c r="K328" s="20">
        <v>7.38</v>
      </c>
      <c r="L328" s="17">
        <v>0.49299999999999999</v>
      </c>
      <c r="M328" s="17">
        <v>5</v>
      </c>
      <c r="N328" s="21">
        <v>287</v>
      </c>
      <c r="O328" s="17">
        <v>19.600000000000001</v>
      </c>
      <c r="P328" s="22">
        <v>6.3120000000000003</v>
      </c>
      <c r="Q328" s="23">
        <v>6.15</v>
      </c>
      <c r="R328" s="1">
        <v>23000</v>
      </c>
    </row>
    <row r="329" spans="1:18">
      <c r="A329" s="23">
        <v>12.79</v>
      </c>
      <c r="B329" s="17">
        <f t="shared" si="5"/>
        <v>22200</v>
      </c>
      <c r="C329" s="17">
        <v>22.2</v>
      </c>
      <c r="E329" s="23">
        <v>12.79</v>
      </c>
      <c r="F329" s="22">
        <v>6.0830000000000002</v>
      </c>
      <c r="G329" s="1">
        <v>22200</v>
      </c>
      <c r="I329" s="24">
        <v>0.35</v>
      </c>
      <c r="J329" s="19">
        <v>0.43700000000000006</v>
      </c>
      <c r="K329" s="20">
        <v>7.38</v>
      </c>
      <c r="L329" s="17">
        <v>0.49299999999999999</v>
      </c>
      <c r="M329" s="17">
        <v>5</v>
      </c>
      <c r="N329" s="21">
        <v>287</v>
      </c>
      <c r="O329" s="17">
        <v>19.600000000000001</v>
      </c>
      <c r="P329" s="22">
        <v>6.0830000000000002</v>
      </c>
      <c r="Q329" s="23">
        <v>12.79</v>
      </c>
      <c r="R329" s="1">
        <v>22200</v>
      </c>
    </row>
    <row r="330" spans="1:18">
      <c r="A330" s="23">
        <v>9.9700000000000006</v>
      </c>
      <c r="B330" s="17">
        <f t="shared" si="5"/>
        <v>19300</v>
      </c>
      <c r="C330" s="17">
        <v>19.3</v>
      </c>
      <c r="E330" s="23">
        <v>9.9700000000000006</v>
      </c>
      <c r="F330" s="22">
        <v>5.8680000000000003</v>
      </c>
      <c r="G330" s="1">
        <v>19300</v>
      </c>
      <c r="I330" s="24">
        <v>2.16</v>
      </c>
      <c r="J330" s="19">
        <v>0.25800000000000001</v>
      </c>
      <c r="K330" s="20">
        <v>3.24</v>
      </c>
      <c r="L330" s="17">
        <v>0.46</v>
      </c>
      <c r="M330" s="17">
        <v>4</v>
      </c>
      <c r="N330" s="21">
        <v>430</v>
      </c>
      <c r="O330" s="17">
        <v>16.899999999999999</v>
      </c>
      <c r="P330" s="22">
        <v>5.8680000000000003</v>
      </c>
      <c r="Q330" s="23">
        <v>9.9700000000000006</v>
      </c>
      <c r="R330" s="1">
        <v>19300</v>
      </c>
    </row>
    <row r="331" spans="1:18">
      <c r="A331" s="23">
        <v>7.34</v>
      </c>
      <c r="B331" s="17">
        <f t="shared" si="5"/>
        <v>22600</v>
      </c>
      <c r="C331" s="17">
        <v>22.6</v>
      </c>
      <c r="E331" s="23">
        <v>7.34</v>
      </c>
      <c r="F331" s="22">
        <v>6.3330000000000002</v>
      </c>
      <c r="G331" s="1">
        <v>22600</v>
      </c>
      <c r="I331" s="24">
        <v>0.9</v>
      </c>
      <c r="J331" s="19">
        <v>0.17199999999999999</v>
      </c>
      <c r="K331" s="20">
        <v>3.24</v>
      </c>
      <c r="L331" s="17">
        <v>0.46</v>
      </c>
      <c r="M331" s="17">
        <v>4</v>
      </c>
      <c r="N331" s="21">
        <v>430</v>
      </c>
      <c r="O331" s="17">
        <v>16.899999999999999</v>
      </c>
      <c r="P331" s="22">
        <v>6.3330000000000002</v>
      </c>
      <c r="Q331" s="23">
        <v>7.34</v>
      </c>
      <c r="R331" s="1">
        <v>22600</v>
      </c>
    </row>
    <row r="332" spans="1:18">
      <c r="A332" s="23">
        <v>9.09</v>
      </c>
      <c r="B332" s="17">
        <f t="shared" si="5"/>
        <v>19800</v>
      </c>
      <c r="C332" s="17">
        <v>19.8</v>
      </c>
      <c r="E332" s="23">
        <v>9.09</v>
      </c>
      <c r="F332" s="22">
        <v>6.1440000000000001</v>
      </c>
      <c r="G332" s="1">
        <v>19800</v>
      </c>
      <c r="I332" s="24">
        <v>8.65</v>
      </c>
      <c r="J332" s="19">
        <v>0.32200000000000001</v>
      </c>
      <c r="K332" s="20">
        <v>3.24</v>
      </c>
      <c r="L332" s="17">
        <v>0.46</v>
      </c>
      <c r="M332" s="17">
        <v>4</v>
      </c>
      <c r="N332" s="21">
        <v>430</v>
      </c>
      <c r="O332" s="17">
        <v>16.899999999999999</v>
      </c>
      <c r="P332" s="22">
        <v>6.1440000000000001</v>
      </c>
      <c r="Q332" s="23">
        <v>9.09</v>
      </c>
      <c r="R332" s="1">
        <v>19800</v>
      </c>
    </row>
    <row r="333" spans="1:18">
      <c r="A333" s="23">
        <v>12.43</v>
      </c>
      <c r="B333" s="17">
        <f t="shared" si="5"/>
        <v>17100</v>
      </c>
      <c r="C333" s="17">
        <v>17.100000000000001</v>
      </c>
      <c r="E333" s="23">
        <v>12.43</v>
      </c>
      <c r="F333" s="22">
        <v>5.7060000000000004</v>
      </c>
      <c r="G333" s="1">
        <v>17100</v>
      </c>
      <c r="I333" s="24">
        <v>4.5</v>
      </c>
      <c r="J333" s="19">
        <v>0.28399999999999997</v>
      </c>
      <c r="K333" s="20">
        <v>6.06</v>
      </c>
      <c r="L333" s="17">
        <v>0.43790000000000001</v>
      </c>
      <c r="M333" s="17">
        <v>1</v>
      </c>
      <c r="N333" s="21">
        <v>304</v>
      </c>
      <c r="O333" s="17">
        <v>16.899999999999999</v>
      </c>
      <c r="P333" s="22">
        <v>5.7060000000000004</v>
      </c>
      <c r="Q333" s="23">
        <v>12.43</v>
      </c>
      <c r="R333" s="1">
        <v>17100</v>
      </c>
    </row>
    <row r="334" spans="1:18">
      <c r="A334" s="23">
        <v>7.83</v>
      </c>
      <c r="B334" s="17">
        <f t="shared" si="5"/>
        <v>19400</v>
      </c>
      <c r="C334" s="17">
        <v>19.399999999999999</v>
      </c>
      <c r="E334" s="23">
        <v>7.83</v>
      </c>
      <c r="F334" s="22">
        <v>6.0309999999999997</v>
      </c>
      <c r="G334" s="1">
        <v>19400</v>
      </c>
      <c r="I334" s="24">
        <v>3.54</v>
      </c>
      <c r="J334" s="19">
        <v>0.23300000000000001</v>
      </c>
      <c r="K334" s="20">
        <v>6.06</v>
      </c>
      <c r="L334" s="17">
        <v>0.43790000000000001</v>
      </c>
      <c r="M334" s="17">
        <v>1</v>
      </c>
      <c r="N334" s="21">
        <v>304</v>
      </c>
      <c r="O334" s="17">
        <v>16.899999999999999</v>
      </c>
      <c r="P334" s="22">
        <v>6.0309999999999997</v>
      </c>
      <c r="Q334" s="23">
        <v>7.83</v>
      </c>
      <c r="R334" s="1">
        <v>19400</v>
      </c>
    </row>
    <row r="335" spans="1:18">
      <c r="A335" s="23">
        <v>5.68</v>
      </c>
      <c r="B335" s="17">
        <f t="shared" si="5"/>
        <v>22200</v>
      </c>
      <c r="C335" s="17">
        <v>22.2</v>
      </c>
      <c r="E335" s="23">
        <v>5.68</v>
      </c>
      <c r="F335" s="22">
        <v>6.3159999999999998</v>
      </c>
      <c r="G335" s="1">
        <v>22200</v>
      </c>
      <c r="I335" s="24">
        <v>5.53</v>
      </c>
      <c r="J335" s="19">
        <v>0.38100000000000001</v>
      </c>
      <c r="K335" s="20">
        <v>5.19</v>
      </c>
      <c r="L335" s="17">
        <v>0.51500000000000001</v>
      </c>
      <c r="M335" s="17">
        <v>5</v>
      </c>
      <c r="N335" s="21">
        <v>224</v>
      </c>
      <c r="O335" s="17">
        <v>20.2</v>
      </c>
      <c r="P335" s="22">
        <v>6.3159999999999998</v>
      </c>
      <c r="Q335" s="23">
        <v>5.68</v>
      </c>
      <c r="R335" s="1">
        <v>22200</v>
      </c>
    </row>
    <row r="336" spans="1:18">
      <c r="A336" s="23">
        <v>6.75</v>
      </c>
      <c r="B336" s="17">
        <f t="shared" si="5"/>
        <v>20700</v>
      </c>
      <c r="C336" s="17">
        <v>20.7</v>
      </c>
      <c r="E336" s="23">
        <v>6.75</v>
      </c>
      <c r="F336" s="22">
        <v>6.31</v>
      </c>
      <c r="G336" s="1">
        <v>20700</v>
      </c>
      <c r="I336" s="24">
        <v>3.59</v>
      </c>
      <c r="J336" s="19">
        <v>0.38500000000000001</v>
      </c>
      <c r="K336" s="20">
        <v>5.19</v>
      </c>
      <c r="L336" s="17">
        <v>0.51500000000000001</v>
      </c>
      <c r="M336" s="17">
        <v>5</v>
      </c>
      <c r="N336" s="21">
        <v>224</v>
      </c>
      <c r="O336" s="17">
        <v>20.2</v>
      </c>
      <c r="P336" s="22">
        <v>6.31</v>
      </c>
      <c r="Q336" s="23">
        <v>6.75</v>
      </c>
      <c r="R336" s="1">
        <v>20700</v>
      </c>
    </row>
    <row r="337" spans="1:18">
      <c r="A337" s="23">
        <v>8.01</v>
      </c>
      <c r="B337" s="17">
        <f t="shared" si="5"/>
        <v>21100</v>
      </c>
      <c r="C337" s="17">
        <v>21.1</v>
      </c>
      <c r="E337" s="23">
        <v>8.01</v>
      </c>
      <c r="F337" s="22">
        <v>6.0369999999999999</v>
      </c>
      <c r="G337" s="1">
        <v>21100</v>
      </c>
      <c r="I337" s="24">
        <v>1.19</v>
      </c>
      <c r="J337" s="19">
        <v>0.34500000000000003</v>
      </c>
      <c r="K337" s="20">
        <v>5.19</v>
      </c>
      <c r="L337" s="17">
        <v>0.51500000000000001</v>
      </c>
      <c r="M337" s="17">
        <v>5</v>
      </c>
      <c r="N337" s="21">
        <v>224</v>
      </c>
      <c r="O337" s="17">
        <v>20.2</v>
      </c>
      <c r="P337" s="22">
        <v>6.0369999999999999</v>
      </c>
      <c r="Q337" s="23">
        <v>8.01</v>
      </c>
      <c r="R337" s="1">
        <v>21100</v>
      </c>
    </row>
    <row r="338" spans="1:18">
      <c r="A338" s="23">
        <v>9.8000000000000007</v>
      </c>
      <c r="B338" s="17">
        <f t="shared" si="5"/>
        <v>19500</v>
      </c>
      <c r="C338" s="17">
        <v>19.5</v>
      </c>
      <c r="E338" s="23">
        <v>9.8000000000000007</v>
      </c>
      <c r="F338" s="22">
        <v>5.8689999999999998</v>
      </c>
      <c r="G338" s="1">
        <v>19500</v>
      </c>
      <c r="I338" s="24">
        <v>4.78</v>
      </c>
      <c r="J338" s="19">
        <v>0.46299999999999997</v>
      </c>
      <c r="K338" s="20">
        <v>5.19</v>
      </c>
      <c r="L338" s="17">
        <v>0.51500000000000001</v>
      </c>
      <c r="M338" s="17">
        <v>5</v>
      </c>
      <c r="N338" s="21">
        <v>224</v>
      </c>
      <c r="O338" s="17">
        <v>20.2</v>
      </c>
      <c r="P338" s="22">
        <v>5.8689999999999998</v>
      </c>
      <c r="Q338" s="23">
        <v>9.8000000000000007</v>
      </c>
      <c r="R338" s="1">
        <v>19500</v>
      </c>
    </row>
    <row r="339" spans="1:18">
      <c r="A339" s="23">
        <v>10.56</v>
      </c>
      <c r="B339" s="17">
        <f t="shared" si="5"/>
        <v>18500</v>
      </c>
      <c r="C339" s="17">
        <v>18.5</v>
      </c>
      <c r="E339" s="23">
        <v>10.56</v>
      </c>
      <c r="F339" s="22">
        <v>5.8949999999999996</v>
      </c>
      <c r="G339" s="1">
        <v>18500</v>
      </c>
      <c r="I339" s="24">
        <v>5.18</v>
      </c>
      <c r="J339" s="19">
        <v>0.59599999999999997</v>
      </c>
      <c r="K339" s="20">
        <v>5.19</v>
      </c>
      <c r="L339" s="17">
        <v>0.51500000000000001</v>
      </c>
      <c r="M339" s="17">
        <v>5</v>
      </c>
      <c r="N339" s="21">
        <v>224</v>
      </c>
      <c r="O339" s="17">
        <v>20.2</v>
      </c>
      <c r="P339" s="22">
        <v>5.8949999999999996</v>
      </c>
      <c r="Q339" s="23">
        <v>10.56</v>
      </c>
      <c r="R339" s="1">
        <v>18500</v>
      </c>
    </row>
    <row r="340" spans="1:18">
      <c r="A340" s="23">
        <v>8.51</v>
      </c>
      <c r="B340" s="17">
        <f t="shared" si="5"/>
        <v>20600</v>
      </c>
      <c r="C340" s="17">
        <v>20.6</v>
      </c>
      <c r="E340" s="23">
        <v>8.51</v>
      </c>
      <c r="F340" s="22">
        <v>6.0590000000000002</v>
      </c>
      <c r="G340" s="1">
        <v>20600</v>
      </c>
      <c r="I340" s="24">
        <v>0.73</v>
      </c>
      <c r="J340" s="19">
        <v>0.373</v>
      </c>
      <c r="K340" s="20">
        <v>5.19</v>
      </c>
      <c r="L340" s="17">
        <v>0.51500000000000001</v>
      </c>
      <c r="M340" s="17">
        <v>5</v>
      </c>
      <c r="N340" s="21">
        <v>224</v>
      </c>
      <c r="O340" s="17">
        <v>20.2</v>
      </c>
      <c r="P340" s="22">
        <v>6.0590000000000002</v>
      </c>
      <c r="Q340" s="23">
        <v>8.51</v>
      </c>
      <c r="R340" s="1">
        <v>20600</v>
      </c>
    </row>
    <row r="341" spans="1:18">
      <c r="A341" s="23">
        <v>9.74</v>
      </c>
      <c r="B341" s="17">
        <f t="shared" si="5"/>
        <v>19000</v>
      </c>
      <c r="C341" s="17">
        <v>19</v>
      </c>
      <c r="E341" s="23">
        <v>9.74</v>
      </c>
      <c r="F341" s="22">
        <v>5.9850000000000003</v>
      </c>
      <c r="G341" s="1">
        <v>19000</v>
      </c>
      <c r="I341" s="24">
        <v>2.17</v>
      </c>
      <c r="J341" s="19">
        <v>0.45400000000000001</v>
      </c>
      <c r="K341" s="20">
        <v>5.19</v>
      </c>
      <c r="L341" s="17">
        <v>0.51500000000000001</v>
      </c>
      <c r="M341" s="17">
        <v>5</v>
      </c>
      <c r="N341" s="21">
        <v>224</v>
      </c>
      <c r="O341" s="17">
        <v>20.2</v>
      </c>
      <c r="P341" s="22">
        <v>5.9850000000000003</v>
      </c>
      <c r="Q341" s="23">
        <v>9.74</v>
      </c>
      <c r="R341" s="1">
        <v>19000</v>
      </c>
    </row>
    <row r="342" spans="1:18">
      <c r="A342" s="23">
        <v>9.2899999999999991</v>
      </c>
      <c r="B342" s="17">
        <f t="shared" si="5"/>
        <v>18700</v>
      </c>
      <c r="C342" s="17">
        <v>18.7</v>
      </c>
      <c r="E342" s="23">
        <v>9.2899999999999991</v>
      </c>
      <c r="F342" s="22">
        <v>5.968</v>
      </c>
      <c r="G342" s="1">
        <v>18700</v>
      </c>
      <c r="I342" s="24">
        <v>2.2999999999999998</v>
      </c>
      <c r="J342" s="19">
        <v>0.58499999999999996</v>
      </c>
      <c r="K342" s="20">
        <v>5.19</v>
      </c>
      <c r="L342" s="17">
        <v>0.51500000000000001</v>
      </c>
      <c r="M342" s="17">
        <v>5</v>
      </c>
      <c r="N342" s="21">
        <v>224</v>
      </c>
      <c r="O342" s="17">
        <v>20.2</v>
      </c>
      <c r="P342" s="22">
        <v>5.968</v>
      </c>
      <c r="Q342" s="23">
        <v>9.2899999999999991</v>
      </c>
      <c r="R342" s="1">
        <v>18700</v>
      </c>
    </row>
    <row r="343" spans="1:18">
      <c r="A343" s="23">
        <v>5.49</v>
      </c>
      <c r="B343" s="17">
        <f t="shared" si="5"/>
        <v>32700.000000000004</v>
      </c>
      <c r="C343" s="17">
        <v>32.700000000000003</v>
      </c>
      <c r="E343" s="23">
        <v>5.49</v>
      </c>
      <c r="F343" s="22">
        <v>7.2409999999999997</v>
      </c>
      <c r="G343" s="1">
        <v>32700.000000000004</v>
      </c>
      <c r="I343" s="24">
        <v>7.62</v>
      </c>
      <c r="J343" s="19">
        <v>0.49299999999999999</v>
      </c>
      <c r="K343" s="20">
        <v>1.52</v>
      </c>
      <c r="L343" s="17">
        <v>0.442</v>
      </c>
      <c r="M343" s="17">
        <v>1</v>
      </c>
      <c r="N343" s="21">
        <v>284</v>
      </c>
      <c r="O343" s="17">
        <v>15.5</v>
      </c>
      <c r="P343" s="22">
        <v>7.2409999999999997</v>
      </c>
      <c r="Q343" s="23">
        <v>5.49</v>
      </c>
      <c r="R343" s="1">
        <v>32700.000000000004</v>
      </c>
    </row>
    <row r="344" spans="1:18">
      <c r="A344" s="23">
        <v>8.65</v>
      </c>
      <c r="B344" s="17">
        <f t="shared" si="5"/>
        <v>16500</v>
      </c>
      <c r="C344" s="17">
        <v>16.5</v>
      </c>
      <c r="E344" s="23">
        <v>8.65</v>
      </c>
      <c r="F344" s="22">
        <v>6.54</v>
      </c>
      <c r="G344" s="1">
        <v>16500</v>
      </c>
      <c r="I344" s="24">
        <v>4.04</v>
      </c>
      <c r="J344" s="19">
        <v>0.59700000000000009</v>
      </c>
      <c r="K344" s="20">
        <v>1.89</v>
      </c>
      <c r="L344" s="17">
        <v>0.51800000000000002</v>
      </c>
      <c r="M344" s="17">
        <v>1</v>
      </c>
      <c r="N344" s="21">
        <v>422</v>
      </c>
      <c r="O344" s="17">
        <v>15.9</v>
      </c>
      <c r="P344" s="22">
        <v>6.54</v>
      </c>
      <c r="Q344" s="23">
        <v>8.65</v>
      </c>
      <c r="R344" s="1">
        <v>16500</v>
      </c>
    </row>
    <row r="345" spans="1:18">
      <c r="A345" s="23">
        <v>7.18</v>
      </c>
      <c r="B345" s="17">
        <f t="shared" si="5"/>
        <v>23900</v>
      </c>
      <c r="C345" s="17">
        <v>23.9</v>
      </c>
      <c r="E345" s="23">
        <v>7.18</v>
      </c>
      <c r="F345" s="22">
        <v>6.6959999999999997</v>
      </c>
      <c r="G345" s="1">
        <v>23900</v>
      </c>
      <c r="I345" s="24">
        <v>8.49</v>
      </c>
      <c r="J345" s="19">
        <v>0.56399999999999995</v>
      </c>
      <c r="K345" s="20">
        <v>3.78</v>
      </c>
      <c r="L345" s="17">
        <v>0.48399999999999999</v>
      </c>
      <c r="M345" s="17">
        <v>5</v>
      </c>
      <c r="N345" s="21">
        <v>370</v>
      </c>
      <c r="O345" s="17">
        <v>17.600000000000001</v>
      </c>
      <c r="P345" s="22">
        <v>6.6959999999999997</v>
      </c>
      <c r="Q345" s="23">
        <v>7.18</v>
      </c>
      <c r="R345" s="1">
        <v>23900</v>
      </c>
    </row>
    <row r="346" spans="1:18">
      <c r="A346" s="23">
        <v>4.6100000000000003</v>
      </c>
      <c r="B346" s="17">
        <f t="shared" si="5"/>
        <v>31200</v>
      </c>
      <c r="C346" s="17">
        <v>31.2</v>
      </c>
      <c r="E346" s="23">
        <v>4.6100000000000003</v>
      </c>
      <c r="F346" s="22">
        <v>6.8739999999999997</v>
      </c>
      <c r="G346" s="1">
        <v>31200</v>
      </c>
      <c r="I346" s="24">
        <v>8.07</v>
      </c>
      <c r="J346" s="19">
        <v>0.28100000000000003</v>
      </c>
      <c r="K346" s="20">
        <v>3.78</v>
      </c>
      <c r="L346" s="17">
        <v>0.48399999999999999</v>
      </c>
      <c r="M346" s="17">
        <v>5</v>
      </c>
      <c r="N346" s="21">
        <v>370</v>
      </c>
      <c r="O346" s="17">
        <v>17.600000000000001</v>
      </c>
      <c r="P346" s="22">
        <v>6.8739999999999997</v>
      </c>
      <c r="Q346" s="23">
        <v>4.6100000000000003</v>
      </c>
      <c r="R346" s="1">
        <v>31200</v>
      </c>
    </row>
    <row r="347" spans="1:18">
      <c r="A347" s="23">
        <v>10.53</v>
      </c>
      <c r="B347" s="17">
        <f t="shared" si="5"/>
        <v>17500</v>
      </c>
      <c r="C347" s="17">
        <v>17.5</v>
      </c>
      <c r="E347" s="23">
        <v>10.53</v>
      </c>
      <c r="F347" s="22">
        <v>6.0140000000000002</v>
      </c>
      <c r="G347" s="1">
        <v>17500</v>
      </c>
      <c r="I347" s="24">
        <v>2.39</v>
      </c>
      <c r="J347" s="19">
        <v>0.48499999999999999</v>
      </c>
      <c r="K347" s="20">
        <v>4.3899999999999997</v>
      </c>
      <c r="L347" s="17">
        <v>0.442</v>
      </c>
      <c r="M347" s="17">
        <v>3</v>
      </c>
      <c r="N347" s="21">
        <v>352</v>
      </c>
      <c r="O347" s="17">
        <v>18.8</v>
      </c>
      <c r="P347" s="22">
        <v>6.0140000000000002</v>
      </c>
      <c r="Q347" s="23">
        <v>10.53</v>
      </c>
      <c r="R347" s="1">
        <v>17500</v>
      </c>
    </row>
    <row r="348" spans="1:18">
      <c r="A348" s="23">
        <v>12.67</v>
      </c>
      <c r="B348" s="17">
        <f t="shared" si="5"/>
        <v>17200</v>
      </c>
      <c r="C348" s="17">
        <v>17.2</v>
      </c>
      <c r="E348" s="23">
        <v>12.67</v>
      </c>
      <c r="F348" s="22">
        <v>5.8979999999999997</v>
      </c>
      <c r="G348" s="1">
        <v>17200</v>
      </c>
      <c r="I348" s="24">
        <v>0.72</v>
      </c>
      <c r="J348" s="19">
        <v>0.52300000000000002</v>
      </c>
      <c r="K348" s="20">
        <v>4.3899999999999997</v>
      </c>
      <c r="L348" s="17">
        <v>0.442</v>
      </c>
      <c r="M348" s="17">
        <v>3</v>
      </c>
      <c r="N348" s="21">
        <v>352</v>
      </c>
      <c r="O348" s="17">
        <v>18.8</v>
      </c>
      <c r="P348" s="22">
        <v>5.8979999999999997</v>
      </c>
      <c r="Q348" s="23">
        <v>12.67</v>
      </c>
      <c r="R348" s="1">
        <v>17200</v>
      </c>
    </row>
    <row r="349" spans="1:18">
      <c r="A349" s="23">
        <v>6.36</v>
      </c>
      <c r="B349" s="17">
        <f t="shared" si="5"/>
        <v>23100</v>
      </c>
      <c r="C349" s="17">
        <v>23.1</v>
      </c>
      <c r="E349" s="23">
        <v>6.36</v>
      </c>
      <c r="F349" s="22">
        <v>6.516</v>
      </c>
      <c r="G349" s="1">
        <v>23100</v>
      </c>
      <c r="I349" s="24">
        <v>1.27</v>
      </c>
      <c r="J349" s="19">
        <v>0.27700000000000002</v>
      </c>
      <c r="K349" s="20">
        <v>4.1500000000000004</v>
      </c>
      <c r="L349" s="17">
        <v>0.42899999999999999</v>
      </c>
      <c r="M349" s="17">
        <v>4</v>
      </c>
      <c r="N349" s="21">
        <v>351</v>
      </c>
      <c r="O349" s="17">
        <v>17.899999999999999</v>
      </c>
      <c r="P349" s="22">
        <v>6.516</v>
      </c>
      <c r="Q349" s="23">
        <v>6.36</v>
      </c>
      <c r="R349" s="1">
        <v>23100</v>
      </c>
    </row>
    <row r="350" spans="1:18">
      <c r="A350" s="23">
        <v>5.99</v>
      </c>
      <c r="B350" s="17">
        <f t="shared" si="5"/>
        <v>24500</v>
      </c>
      <c r="C350" s="17">
        <v>24.5</v>
      </c>
      <c r="E350" s="23">
        <v>5.99</v>
      </c>
      <c r="F350" s="22">
        <v>6.6349999999999998</v>
      </c>
      <c r="G350" s="1">
        <v>24500</v>
      </c>
      <c r="I350" s="24">
        <v>2.69</v>
      </c>
      <c r="J350" s="19">
        <v>0.29699999999999999</v>
      </c>
      <c r="K350" s="20">
        <v>2.0099999999999998</v>
      </c>
      <c r="L350" s="17">
        <v>0.435</v>
      </c>
      <c r="M350" s="17">
        <v>4</v>
      </c>
      <c r="N350" s="21">
        <v>280</v>
      </c>
      <c r="O350" s="17">
        <v>17</v>
      </c>
      <c r="P350" s="22">
        <v>6.6349999999999998</v>
      </c>
      <c r="Q350" s="23">
        <v>5.99</v>
      </c>
      <c r="R350" s="1">
        <v>24500</v>
      </c>
    </row>
    <row r="351" spans="1:18">
      <c r="A351" s="23">
        <v>5.89</v>
      </c>
      <c r="B351" s="17">
        <f t="shared" si="5"/>
        <v>26600</v>
      </c>
      <c r="C351" s="17">
        <v>26.6</v>
      </c>
      <c r="E351" s="23">
        <v>5.89</v>
      </c>
      <c r="F351" s="22">
        <v>6.9390000000000001</v>
      </c>
      <c r="G351" s="1">
        <v>26600</v>
      </c>
      <c r="I351" s="24">
        <v>7.44</v>
      </c>
      <c r="J351" s="19">
        <v>0.34500000000000003</v>
      </c>
      <c r="K351" s="20">
        <v>1.25</v>
      </c>
      <c r="L351" s="17">
        <v>0.42899999999999999</v>
      </c>
      <c r="M351" s="17">
        <v>1</v>
      </c>
      <c r="N351" s="21">
        <v>335</v>
      </c>
      <c r="O351" s="17">
        <v>19.7</v>
      </c>
      <c r="P351" s="22">
        <v>6.9390000000000001</v>
      </c>
      <c r="Q351" s="23">
        <v>5.89</v>
      </c>
      <c r="R351" s="1">
        <v>26600</v>
      </c>
    </row>
    <row r="352" spans="1:18">
      <c r="A352" s="23">
        <v>5.98</v>
      </c>
      <c r="B352" s="17">
        <f t="shared" si="5"/>
        <v>22900</v>
      </c>
      <c r="C352" s="17">
        <v>22.9</v>
      </c>
      <c r="E352" s="23">
        <v>5.98</v>
      </c>
      <c r="F352" s="22">
        <v>6.49</v>
      </c>
      <c r="G352" s="1">
        <v>22900</v>
      </c>
      <c r="I352" s="24">
        <v>6.84</v>
      </c>
      <c r="J352" s="19">
        <v>0.44400000000000001</v>
      </c>
      <c r="K352" s="20">
        <v>1.25</v>
      </c>
      <c r="L352" s="17">
        <v>0.42899999999999999</v>
      </c>
      <c r="M352" s="17">
        <v>1</v>
      </c>
      <c r="N352" s="21">
        <v>335</v>
      </c>
      <c r="O352" s="17">
        <v>19.7</v>
      </c>
      <c r="P352" s="22">
        <v>6.49</v>
      </c>
      <c r="Q352" s="23">
        <v>5.98</v>
      </c>
      <c r="R352" s="1">
        <v>22900</v>
      </c>
    </row>
    <row r="353" spans="1:18">
      <c r="A353" s="23">
        <v>5.49</v>
      </c>
      <c r="B353" s="17">
        <f t="shared" si="5"/>
        <v>24100</v>
      </c>
      <c r="C353" s="17">
        <v>24.1</v>
      </c>
      <c r="E353" s="23">
        <v>5.49</v>
      </c>
      <c r="F353" s="22">
        <v>6.5789999999999997</v>
      </c>
      <c r="G353" s="1">
        <v>24100</v>
      </c>
      <c r="I353" s="24">
        <v>6.61</v>
      </c>
      <c r="J353" s="19">
        <v>0.35899999999999999</v>
      </c>
      <c r="K353" s="20">
        <v>1.69</v>
      </c>
      <c r="L353" s="17">
        <v>0.41099999999999998</v>
      </c>
      <c r="M353" s="17">
        <v>4</v>
      </c>
      <c r="N353" s="21">
        <v>411</v>
      </c>
      <c r="O353" s="17">
        <v>18.3</v>
      </c>
      <c r="P353" s="22">
        <v>6.5789999999999997</v>
      </c>
      <c r="Q353" s="23">
        <v>5.49</v>
      </c>
      <c r="R353" s="1">
        <v>24100</v>
      </c>
    </row>
    <row r="354" spans="1:18">
      <c r="A354" s="23">
        <v>7.79</v>
      </c>
      <c r="B354" s="17">
        <f t="shared" si="5"/>
        <v>18600</v>
      </c>
      <c r="C354" s="17">
        <v>18.600000000000001</v>
      </c>
      <c r="E354" s="23">
        <v>7.79</v>
      </c>
      <c r="F354" s="22">
        <v>5.8840000000000003</v>
      </c>
      <c r="G354" s="1">
        <v>18600</v>
      </c>
      <c r="I354" s="24">
        <v>1.27</v>
      </c>
      <c r="J354" s="19">
        <v>0.185</v>
      </c>
      <c r="K354" s="20">
        <v>1.69</v>
      </c>
      <c r="L354" s="17">
        <v>0.41099999999999998</v>
      </c>
      <c r="M354" s="17">
        <v>4</v>
      </c>
      <c r="N354" s="21">
        <v>411</v>
      </c>
      <c r="O354" s="17">
        <v>18.3</v>
      </c>
      <c r="P354" s="22">
        <v>5.8840000000000003</v>
      </c>
      <c r="Q354" s="23">
        <v>7.79</v>
      </c>
      <c r="R354" s="1">
        <v>18600</v>
      </c>
    </row>
    <row r="355" spans="1:18">
      <c r="A355" s="23">
        <v>4.5</v>
      </c>
      <c r="B355" s="17">
        <f t="shared" si="5"/>
        <v>30100</v>
      </c>
      <c r="C355" s="17">
        <v>30.1</v>
      </c>
      <c r="E355" s="23">
        <v>4.5</v>
      </c>
      <c r="F355" s="22">
        <v>6.7279999999999998</v>
      </c>
      <c r="G355" s="1">
        <v>30100</v>
      </c>
      <c r="I355" s="24">
        <v>9.1</v>
      </c>
      <c r="J355" s="19">
        <v>0.36100000000000004</v>
      </c>
      <c r="K355" s="20">
        <v>2.02</v>
      </c>
      <c r="L355" s="17">
        <v>0.41</v>
      </c>
      <c r="M355" s="17">
        <v>5</v>
      </c>
      <c r="N355" s="21">
        <v>187</v>
      </c>
      <c r="O355" s="17">
        <v>17</v>
      </c>
      <c r="P355" s="22">
        <v>6.7279999999999998</v>
      </c>
      <c r="Q355" s="23">
        <v>4.5</v>
      </c>
      <c r="R355" s="1">
        <v>30100</v>
      </c>
    </row>
    <row r="356" spans="1:18">
      <c r="A356" s="23">
        <v>8.0500000000000007</v>
      </c>
      <c r="B356" s="17">
        <f t="shared" si="5"/>
        <v>18200</v>
      </c>
      <c r="C356" s="17">
        <v>18.2</v>
      </c>
      <c r="E356" s="23">
        <v>8.0500000000000007</v>
      </c>
      <c r="F356" s="22">
        <v>5.6630000000000003</v>
      </c>
      <c r="G356" s="1">
        <v>18200</v>
      </c>
      <c r="I356" s="24">
        <v>1.05</v>
      </c>
      <c r="J356" s="19">
        <v>0.219</v>
      </c>
      <c r="K356" s="20">
        <v>1.91</v>
      </c>
      <c r="L356" s="17">
        <v>0.41299999999999998</v>
      </c>
      <c r="M356" s="17">
        <v>4</v>
      </c>
      <c r="N356" s="21">
        <v>334</v>
      </c>
      <c r="O356" s="17">
        <v>22</v>
      </c>
      <c r="P356" s="22">
        <v>5.6630000000000003</v>
      </c>
      <c r="Q356" s="23">
        <v>8.0500000000000007</v>
      </c>
      <c r="R356" s="1">
        <v>18200</v>
      </c>
    </row>
    <row r="357" spans="1:18">
      <c r="A357" s="23">
        <v>5.57</v>
      </c>
      <c r="B357" s="17">
        <f t="shared" si="5"/>
        <v>20600</v>
      </c>
      <c r="C357" s="17">
        <v>20.6</v>
      </c>
      <c r="E357" s="23">
        <v>5.57</v>
      </c>
      <c r="F357" s="22">
        <v>5.9359999999999999</v>
      </c>
      <c r="G357" s="1">
        <v>20600</v>
      </c>
      <c r="I357" s="24">
        <v>8.43</v>
      </c>
      <c r="J357" s="19">
        <v>0.19500000000000001</v>
      </c>
      <c r="K357" s="20">
        <v>1.91</v>
      </c>
      <c r="L357" s="17">
        <v>0.41299999999999998</v>
      </c>
      <c r="M357" s="17">
        <v>4</v>
      </c>
      <c r="N357" s="21">
        <v>334</v>
      </c>
      <c r="O357" s="17">
        <v>22</v>
      </c>
      <c r="P357" s="22">
        <v>5.9359999999999999</v>
      </c>
      <c r="Q357" s="23">
        <v>5.57</v>
      </c>
      <c r="R357" s="1">
        <v>20600</v>
      </c>
    </row>
    <row r="358" spans="1:18">
      <c r="A358" s="23">
        <v>17.600000000000001</v>
      </c>
      <c r="B358" s="17">
        <f t="shared" si="5"/>
        <v>17800</v>
      </c>
      <c r="C358" s="17">
        <v>17.8</v>
      </c>
      <c r="E358" s="23">
        <v>17.600000000000001</v>
      </c>
      <c r="F358" s="22">
        <v>6.2119999999999997</v>
      </c>
      <c r="G358" s="1">
        <v>17800</v>
      </c>
      <c r="I358" s="24">
        <v>0.96</v>
      </c>
      <c r="J358" s="19">
        <v>0.97400000000000009</v>
      </c>
      <c r="K358" s="20">
        <v>18.100000000000001</v>
      </c>
      <c r="L358" s="17">
        <v>0.77</v>
      </c>
      <c r="M358" s="17">
        <v>24</v>
      </c>
      <c r="N358" s="21">
        <v>666</v>
      </c>
      <c r="O358" s="17">
        <v>20.2</v>
      </c>
      <c r="P358" s="22">
        <v>6.2119999999999997</v>
      </c>
      <c r="Q358" s="23">
        <v>17.600000000000001</v>
      </c>
      <c r="R358" s="1">
        <v>17800</v>
      </c>
    </row>
    <row r="359" spans="1:18">
      <c r="A359" s="23">
        <v>13.27</v>
      </c>
      <c r="B359" s="17">
        <f t="shared" si="5"/>
        <v>21700</v>
      </c>
      <c r="C359" s="17">
        <v>21.7</v>
      </c>
      <c r="E359" s="23">
        <v>13.27</v>
      </c>
      <c r="F359" s="22">
        <v>6.3949999999999996</v>
      </c>
      <c r="G359" s="1">
        <v>21700</v>
      </c>
      <c r="I359" s="24">
        <v>4.29</v>
      </c>
      <c r="J359" s="19">
        <v>0.91</v>
      </c>
      <c r="K359" s="20">
        <v>18.100000000000001</v>
      </c>
      <c r="L359" s="17">
        <v>0.77</v>
      </c>
      <c r="M359" s="17">
        <v>24</v>
      </c>
      <c r="N359" s="21">
        <v>666</v>
      </c>
      <c r="O359" s="17">
        <v>20.2</v>
      </c>
      <c r="P359" s="22">
        <v>6.3949999999999996</v>
      </c>
      <c r="Q359" s="23">
        <v>13.27</v>
      </c>
      <c r="R359" s="1">
        <v>21700</v>
      </c>
    </row>
    <row r="360" spans="1:18">
      <c r="A360" s="23">
        <v>11.48</v>
      </c>
      <c r="B360" s="17">
        <f t="shared" si="5"/>
        <v>22700</v>
      </c>
      <c r="C360" s="17">
        <v>22.7</v>
      </c>
      <c r="E360" s="23">
        <v>11.48</v>
      </c>
      <c r="F360" s="22">
        <v>6.1269999999999998</v>
      </c>
      <c r="G360" s="1">
        <v>22700</v>
      </c>
      <c r="I360" s="24">
        <v>0.38</v>
      </c>
      <c r="J360" s="19">
        <v>0.83400000000000007</v>
      </c>
      <c r="K360" s="20">
        <v>18.100000000000001</v>
      </c>
      <c r="L360" s="17">
        <v>0.77</v>
      </c>
      <c r="M360" s="17">
        <v>24</v>
      </c>
      <c r="N360" s="21">
        <v>666</v>
      </c>
      <c r="O360" s="17">
        <v>20.2</v>
      </c>
      <c r="P360" s="22">
        <v>6.1269999999999998</v>
      </c>
      <c r="Q360" s="23">
        <v>11.48</v>
      </c>
      <c r="R360" s="1">
        <v>22700</v>
      </c>
    </row>
    <row r="361" spans="1:18">
      <c r="A361" s="23">
        <v>12.67</v>
      </c>
      <c r="B361" s="17">
        <f t="shared" si="5"/>
        <v>22600</v>
      </c>
      <c r="C361" s="17">
        <v>22.6</v>
      </c>
      <c r="E361" s="23">
        <v>12.67</v>
      </c>
      <c r="F361" s="22">
        <v>6.1120000000000001</v>
      </c>
      <c r="G361" s="1">
        <v>22600</v>
      </c>
      <c r="I361" s="24">
        <v>7.28</v>
      </c>
      <c r="J361" s="19">
        <v>0.81299999999999994</v>
      </c>
      <c r="K361" s="20">
        <v>18.100000000000001</v>
      </c>
      <c r="L361" s="17">
        <v>0.77</v>
      </c>
      <c r="M361" s="17">
        <v>24</v>
      </c>
      <c r="N361" s="21">
        <v>666</v>
      </c>
      <c r="O361" s="17">
        <v>20.2</v>
      </c>
      <c r="P361" s="22">
        <v>6.1120000000000001</v>
      </c>
      <c r="Q361" s="23">
        <v>12.67</v>
      </c>
      <c r="R361" s="1">
        <v>22600</v>
      </c>
    </row>
    <row r="362" spans="1:18">
      <c r="A362" s="23">
        <v>7.79</v>
      </c>
      <c r="B362" s="17">
        <f t="shared" si="5"/>
        <v>25000</v>
      </c>
      <c r="C362" s="17">
        <v>25</v>
      </c>
      <c r="E362" s="23">
        <v>7.79</v>
      </c>
      <c r="F362" s="22">
        <v>6.3979999999999997</v>
      </c>
      <c r="G362" s="1">
        <v>25000</v>
      </c>
      <c r="I362" s="24">
        <v>4.51</v>
      </c>
      <c r="J362" s="19">
        <v>0.88</v>
      </c>
      <c r="K362" s="20">
        <v>18.100000000000001</v>
      </c>
      <c r="L362" s="17">
        <v>0.77</v>
      </c>
      <c r="M362" s="17">
        <v>24</v>
      </c>
      <c r="N362" s="21">
        <v>666</v>
      </c>
      <c r="O362" s="17">
        <v>20.2</v>
      </c>
      <c r="P362" s="22">
        <v>6.3979999999999997</v>
      </c>
      <c r="Q362" s="23">
        <v>7.79</v>
      </c>
      <c r="R362" s="1">
        <v>25000</v>
      </c>
    </row>
    <row r="363" spans="1:18">
      <c r="A363" s="23">
        <v>14.19</v>
      </c>
      <c r="B363" s="17">
        <f t="shared" si="5"/>
        <v>19900</v>
      </c>
      <c r="C363" s="17">
        <v>19.899999999999999</v>
      </c>
      <c r="E363" s="23">
        <v>14.19</v>
      </c>
      <c r="F363" s="22">
        <v>6.2510000000000003</v>
      </c>
      <c r="G363" s="1">
        <v>19900</v>
      </c>
      <c r="I363" s="24">
        <v>9.43</v>
      </c>
      <c r="J363" s="19">
        <v>0.91099999999999992</v>
      </c>
      <c r="K363" s="20">
        <v>18.100000000000001</v>
      </c>
      <c r="L363" s="17">
        <v>0.77</v>
      </c>
      <c r="M363" s="17">
        <v>24</v>
      </c>
      <c r="N363" s="21">
        <v>666</v>
      </c>
      <c r="O363" s="17">
        <v>20.2</v>
      </c>
      <c r="P363" s="22">
        <v>6.2510000000000003</v>
      </c>
      <c r="Q363" s="23">
        <v>14.19</v>
      </c>
      <c r="R363" s="1">
        <v>19900</v>
      </c>
    </row>
    <row r="364" spans="1:18">
      <c r="A364" s="23">
        <v>10.19</v>
      </c>
      <c r="B364" s="17">
        <f t="shared" si="5"/>
        <v>20800</v>
      </c>
      <c r="C364" s="17">
        <v>20.8</v>
      </c>
      <c r="E364" s="23">
        <v>10.19</v>
      </c>
      <c r="F364" s="22">
        <v>5.3620000000000001</v>
      </c>
      <c r="G364" s="1">
        <v>20800</v>
      </c>
      <c r="I364" s="24">
        <v>6.12</v>
      </c>
      <c r="J364" s="19">
        <v>0.96200000000000008</v>
      </c>
      <c r="K364" s="20">
        <v>18.100000000000001</v>
      </c>
      <c r="L364" s="17">
        <v>0.77</v>
      </c>
      <c r="M364" s="17">
        <v>24</v>
      </c>
      <c r="N364" s="21">
        <v>666</v>
      </c>
      <c r="O364" s="17">
        <v>20.2</v>
      </c>
      <c r="P364" s="22">
        <v>5.3620000000000001</v>
      </c>
      <c r="Q364" s="23">
        <v>10.19</v>
      </c>
      <c r="R364" s="1">
        <v>20800</v>
      </c>
    </row>
    <row r="365" spans="1:18">
      <c r="A365" s="23">
        <v>14.64</v>
      </c>
      <c r="B365" s="17">
        <f t="shared" si="5"/>
        <v>16800</v>
      </c>
      <c r="C365" s="17">
        <v>16.8</v>
      </c>
      <c r="E365" s="23">
        <v>14.64</v>
      </c>
      <c r="F365" s="22">
        <v>5.8029999999999999</v>
      </c>
      <c r="G365" s="1">
        <v>16800</v>
      </c>
      <c r="I365" s="24">
        <v>6.76</v>
      </c>
      <c r="J365" s="19">
        <v>0.89</v>
      </c>
      <c r="K365" s="20">
        <v>18.100000000000001</v>
      </c>
      <c r="L365" s="17">
        <v>0.77</v>
      </c>
      <c r="M365" s="17">
        <v>24</v>
      </c>
      <c r="N365" s="21">
        <v>666</v>
      </c>
      <c r="O365" s="17">
        <v>20.2</v>
      </c>
      <c r="P365" s="22">
        <v>5.8029999999999999</v>
      </c>
      <c r="Q365" s="23">
        <v>14.64</v>
      </c>
      <c r="R365" s="1">
        <v>16800</v>
      </c>
    </row>
    <row r="366" spans="1:18">
      <c r="A366" s="23">
        <v>5.29</v>
      </c>
      <c r="B366" s="17">
        <f t="shared" si="5"/>
        <v>21900</v>
      </c>
      <c r="C366" s="17">
        <v>21.9</v>
      </c>
      <c r="E366" s="23">
        <v>5.29</v>
      </c>
      <c r="F366" s="22">
        <v>8.7799999999999994</v>
      </c>
      <c r="G366" s="1">
        <v>21900</v>
      </c>
      <c r="I366" s="24">
        <v>9.99</v>
      </c>
      <c r="J366" s="19">
        <v>0.82900000000000007</v>
      </c>
      <c r="K366" s="20">
        <v>18.100000000000001</v>
      </c>
      <c r="L366" s="17">
        <v>0.71799999999999997</v>
      </c>
      <c r="M366" s="17">
        <v>24</v>
      </c>
      <c r="N366" s="21">
        <v>666</v>
      </c>
      <c r="O366" s="17">
        <v>20.2</v>
      </c>
      <c r="P366" s="22">
        <v>8.7799999999999994</v>
      </c>
      <c r="Q366" s="23">
        <v>5.29</v>
      </c>
      <c r="R366" s="1">
        <v>21900</v>
      </c>
    </row>
    <row r="367" spans="1:18">
      <c r="A367" s="23">
        <v>7.12</v>
      </c>
      <c r="B367" s="17">
        <f t="shared" si="5"/>
        <v>27500</v>
      </c>
      <c r="C367" s="17">
        <v>27.5</v>
      </c>
      <c r="E367" s="23">
        <v>7.12</v>
      </c>
      <c r="F367" s="22">
        <v>3.5609999999999999</v>
      </c>
      <c r="G367" s="1">
        <v>27500</v>
      </c>
      <c r="I367" s="24">
        <v>9.59</v>
      </c>
      <c r="J367" s="19">
        <v>0.87900000000000011</v>
      </c>
      <c r="K367" s="20">
        <v>18.100000000000001</v>
      </c>
      <c r="L367" s="17">
        <v>0.71799999999999997</v>
      </c>
      <c r="M367" s="17">
        <v>24</v>
      </c>
      <c r="N367" s="21">
        <v>666</v>
      </c>
      <c r="O367" s="17">
        <v>20.2</v>
      </c>
      <c r="P367" s="22">
        <v>3.5609999999999999</v>
      </c>
      <c r="Q367" s="23">
        <v>7.12</v>
      </c>
      <c r="R367" s="1">
        <v>27500</v>
      </c>
    </row>
    <row r="368" spans="1:18">
      <c r="A368" s="23">
        <v>14</v>
      </c>
      <c r="B368" s="17">
        <f t="shared" si="5"/>
        <v>21900</v>
      </c>
      <c r="C368" s="17">
        <v>21.9</v>
      </c>
      <c r="E368" s="23">
        <v>14</v>
      </c>
      <c r="F368" s="22">
        <v>4.9630000000000001</v>
      </c>
      <c r="G368" s="1">
        <v>21900</v>
      </c>
      <c r="I368" s="24">
        <v>5.5</v>
      </c>
      <c r="J368" s="19">
        <v>0.91400000000000003</v>
      </c>
      <c r="K368" s="20">
        <v>18.100000000000001</v>
      </c>
      <c r="L368" s="17">
        <v>0.71799999999999997</v>
      </c>
      <c r="M368" s="17">
        <v>24</v>
      </c>
      <c r="N368" s="21">
        <v>666</v>
      </c>
      <c r="O368" s="17">
        <v>20.2</v>
      </c>
      <c r="P368" s="22">
        <v>4.9630000000000001</v>
      </c>
      <c r="Q368" s="23">
        <v>14</v>
      </c>
      <c r="R368" s="1">
        <v>21900</v>
      </c>
    </row>
    <row r="369" spans="1:18">
      <c r="A369" s="23">
        <v>13.33</v>
      </c>
      <c r="B369" s="17">
        <f t="shared" si="5"/>
        <v>23100</v>
      </c>
      <c r="C369" s="17">
        <v>23.1</v>
      </c>
      <c r="E369" s="23">
        <v>13.33</v>
      </c>
      <c r="F369" s="22">
        <v>3.863</v>
      </c>
      <c r="G369" s="1">
        <v>23100</v>
      </c>
      <c r="I369" s="24">
        <v>4.24</v>
      </c>
      <c r="J369" s="19">
        <v>1</v>
      </c>
      <c r="K369" s="20">
        <v>18.100000000000001</v>
      </c>
      <c r="L369" s="17">
        <v>0.63100000000000001</v>
      </c>
      <c r="M369" s="17">
        <v>24</v>
      </c>
      <c r="N369" s="21">
        <v>666</v>
      </c>
      <c r="O369" s="17">
        <v>20.2</v>
      </c>
      <c r="P369" s="22">
        <v>3.863</v>
      </c>
      <c r="Q369" s="23">
        <v>13.33</v>
      </c>
      <c r="R369" s="1">
        <v>23100</v>
      </c>
    </row>
    <row r="370" spans="1:18">
      <c r="A370" s="23">
        <v>3.26</v>
      </c>
      <c r="B370" s="17">
        <f t="shared" si="5"/>
        <v>50000</v>
      </c>
      <c r="C370" s="17">
        <v>50</v>
      </c>
      <c r="E370" s="23">
        <v>3.26</v>
      </c>
      <c r="F370" s="22">
        <v>4.97</v>
      </c>
      <c r="G370" s="1">
        <v>50000</v>
      </c>
      <c r="I370" s="24">
        <v>7.25</v>
      </c>
      <c r="J370" s="19">
        <v>1</v>
      </c>
      <c r="K370" s="20">
        <v>18.100000000000001</v>
      </c>
      <c r="L370" s="17">
        <v>0.63100000000000001</v>
      </c>
      <c r="M370" s="17">
        <v>24</v>
      </c>
      <c r="N370" s="21">
        <v>666</v>
      </c>
      <c r="O370" s="17">
        <v>20.2</v>
      </c>
      <c r="P370" s="22">
        <v>4.97</v>
      </c>
      <c r="Q370" s="23">
        <v>3.26</v>
      </c>
      <c r="R370" s="1">
        <v>50000</v>
      </c>
    </row>
    <row r="371" spans="1:18">
      <c r="A371" s="23">
        <v>3.73</v>
      </c>
      <c r="B371" s="17">
        <f t="shared" si="5"/>
        <v>50000</v>
      </c>
      <c r="C371" s="17">
        <v>50</v>
      </c>
      <c r="E371" s="23">
        <v>3.73</v>
      </c>
      <c r="F371" s="22">
        <v>6.6829999999999998</v>
      </c>
      <c r="G371" s="1">
        <v>50000</v>
      </c>
      <c r="I371" s="24">
        <v>5.32</v>
      </c>
      <c r="J371" s="19">
        <v>0.96799999999999997</v>
      </c>
      <c r="K371" s="20">
        <v>18.100000000000001</v>
      </c>
      <c r="L371" s="17">
        <v>0.63100000000000001</v>
      </c>
      <c r="M371" s="17">
        <v>24</v>
      </c>
      <c r="N371" s="21">
        <v>666</v>
      </c>
      <c r="O371" s="17">
        <v>20.2</v>
      </c>
      <c r="P371" s="22">
        <v>6.6829999999999998</v>
      </c>
      <c r="Q371" s="23">
        <v>3.73</v>
      </c>
      <c r="R371" s="1">
        <v>50000</v>
      </c>
    </row>
    <row r="372" spans="1:18">
      <c r="A372" s="23">
        <v>2.96</v>
      </c>
      <c r="B372" s="17">
        <f t="shared" si="5"/>
        <v>50000</v>
      </c>
      <c r="C372" s="17">
        <v>50</v>
      </c>
      <c r="E372" s="23">
        <v>2.96</v>
      </c>
      <c r="F372" s="22">
        <v>7.016</v>
      </c>
      <c r="G372" s="1">
        <v>50000</v>
      </c>
      <c r="I372" s="24">
        <v>7.39</v>
      </c>
      <c r="J372" s="19">
        <v>0.97499999999999998</v>
      </c>
      <c r="K372" s="20">
        <v>18.100000000000001</v>
      </c>
      <c r="L372" s="17">
        <v>0.63100000000000001</v>
      </c>
      <c r="M372" s="17">
        <v>24</v>
      </c>
      <c r="N372" s="21">
        <v>666</v>
      </c>
      <c r="O372" s="17">
        <v>20.2</v>
      </c>
      <c r="P372" s="22">
        <v>7.016</v>
      </c>
      <c r="Q372" s="23">
        <v>2.96</v>
      </c>
      <c r="R372" s="1">
        <v>50000</v>
      </c>
    </row>
    <row r="373" spans="1:18">
      <c r="A373" s="23">
        <v>9.5299999999999994</v>
      </c>
      <c r="B373" s="17">
        <f t="shared" si="5"/>
        <v>50000</v>
      </c>
      <c r="C373" s="17">
        <v>50</v>
      </c>
      <c r="E373" s="23">
        <v>9.5299999999999994</v>
      </c>
      <c r="F373" s="22">
        <v>6.2160000000000002</v>
      </c>
      <c r="G373" s="1">
        <v>50000</v>
      </c>
      <c r="I373" s="24">
        <v>3.84</v>
      </c>
      <c r="J373" s="19">
        <v>1</v>
      </c>
      <c r="K373" s="20">
        <v>18.100000000000001</v>
      </c>
      <c r="L373" s="17">
        <v>0.63100000000000001</v>
      </c>
      <c r="M373" s="17">
        <v>24</v>
      </c>
      <c r="N373" s="21">
        <v>666</v>
      </c>
      <c r="O373" s="17">
        <v>20.2</v>
      </c>
      <c r="P373" s="22">
        <v>6.2160000000000002</v>
      </c>
      <c r="Q373" s="23">
        <v>9.5299999999999994</v>
      </c>
      <c r="R373" s="1">
        <v>50000</v>
      </c>
    </row>
    <row r="374" spans="1:18">
      <c r="A374" s="23">
        <v>8.8800000000000008</v>
      </c>
      <c r="B374" s="17">
        <f t="shared" si="5"/>
        <v>50000</v>
      </c>
      <c r="C374" s="17">
        <v>50</v>
      </c>
      <c r="E374" s="23">
        <v>8.8800000000000008</v>
      </c>
      <c r="F374" s="22">
        <v>5.875</v>
      </c>
      <c r="G374" s="1">
        <v>50000</v>
      </c>
      <c r="I374" s="24">
        <v>1.55</v>
      </c>
      <c r="J374" s="19">
        <v>0.89599999999999991</v>
      </c>
      <c r="K374" s="20">
        <v>18.100000000000001</v>
      </c>
      <c r="L374" s="17">
        <v>0.66800000000000004</v>
      </c>
      <c r="M374" s="17">
        <v>24</v>
      </c>
      <c r="N374" s="21">
        <v>666</v>
      </c>
      <c r="O374" s="17">
        <v>20.2</v>
      </c>
      <c r="P374" s="22">
        <v>5.875</v>
      </c>
      <c r="Q374" s="23">
        <v>8.8800000000000008</v>
      </c>
      <c r="R374" s="1">
        <v>50000</v>
      </c>
    </row>
    <row r="375" spans="1:18">
      <c r="A375" s="23">
        <v>34.770000000000003</v>
      </c>
      <c r="B375" s="17">
        <f t="shared" si="5"/>
        <v>13800</v>
      </c>
      <c r="C375" s="17">
        <v>13.8</v>
      </c>
      <c r="E375" s="23">
        <v>34.770000000000003</v>
      </c>
      <c r="F375" s="22">
        <v>4.9059999999999997</v>
      </c>
      <c r="G375" s="1">
        <v>13800</v>
      </c>
      <c r="I375" s="24">
        <v>5.96</v>
      </c>
      <c r="J375" s="19">
        <v>1</v>
      </c>
      <c r="K375" s="20">
        <v>18.100000000000001</v>
      </c>
      <c r="L375" s="17">
        <v>0.66800000000000004</v>
      </c>
      <c r="M375" s="17">
        <v>24</v>
      </c>
      <c r="N375" s="21">
        <v>666</v>
      </c>
      <c r="O375" s="17">
        <v>20.2</v>
      </c>
      <c r="P375" s="22">
        <v>4.9059999999999997</v>
      </c>
      <c r="Q375" s="23">
        <v>34.770000000000003</v>
      </c>
      <c r="R375" s="1">
        <v>13800</v>
      </c>
    </row>
    <row r="376" spans="1:18">
      <c r="A376" s="23">
        <v>37.97</v>
      </c>
      <c r="B376" s="17">
        <f t="shared" si="5"/>
        <v>13800</v>
      </c>
      <c r="C376" s="17">
        <v>13.8</v>
      </c>
      <c r="E376" s="23">
        <v>37.97</v>
      </c>
      <c r="F376" s="22">
        <v>4.1379999999999999</v>
      </c>
      <c r="G376" s="1">
        <v>13800</v>
      </c>
      <c r="I376" s="24">
        <v>0.71</v>
      </c>
      <c r="J376" s="19">
        <v>1</v>
      </c>
      <c r="K376" s="20">
        <v>18.100000000000001</v>
      </c>
      <c r="L376" s="17">
        <v>0.66800000000000004</v>
      </c>
      <c r="M376" s="17">
        <v>24</v>
      </c>
      <c r="N376" s="21">
        <v>666</v>
      </c>
      <c r="O376" s="17">
        <v>20.2</v>
      </c>
      <c r="P376" s="22">
        <v>4.1379999999999999</v>
      </c>
      <c r="Q376" s="23">
        <v>37.97</v>
      </c>
      <c r="R376" s="1">
        <v>13800</v>
      </c>
    </row>
    <row r="377" spans="1:18">
      <c r="A377" s="23">
        <v>13.44</v>
      </c>
      <c r="B377" s="17">
        <f t="shared" si="5"/>
        <v>15000</v>
      </c>
      <c r="C377" s="17">
        <v>15</v>
      </c>
      <c r="E377" s="23">
        <v>13.44</v>
      </c>
      <c r="F377" s="22">
        <v>7.3129999999999997</v>
      </c>
      <c r="G377" s="1">
        <v>15000</v>
      </c>
      <c r="I377" s="24">
        <v>3.12</v>
      </c>
      <c r="J377" s="19">
        <v>0.97900000000000009</v>
      </c>
      <c r="K377" s="20">
        <v>18.100000000000001</v>
      </c>
      <c r="L377" s="17">
        <v>0.67100000000000004</v>
      </c>
      <c r="M377" s="17">
        <v>24</v>
      </c>
      <c r="N377" s="21">
        <v>666</v>
      </c>
      <c r="O377" s="17">
        <v>20.2</v>
      </c>
      <c r="P377" s="22">
        <v>7.3129999999999997</v>
      </c>
      <c r="Q377" s="23">
        <v>13.44</v>
      </c>
      <c r="R377" s="1">
        <v>15000</v>
      </c>
    </row>
    <row r="378" spans="1:18">
      <c r="A378" s="23">
        <v>23.24</v>
      </c>
      <c r="B378" s="17">
        <f t="shared" si="5"/>
        <v>13900</v>
      </c>
      <c r="C378" s="17">
        <v>13.9</v>
      </c>
      <c r="E378" s="23">
        <v>23.24</v>
      </c>
      <c r="F378" s="22">
        <v>6.649</v>
      </c>
      <c r="G378" s="1">
        <v>13900</v>
      </c>
      <c r="I378" s="24">
        <v>5.89</v>
      </c>
      <c r="J378" s="19">
        <v>0.93299999999999994</v>
      </c>
      <c r="K378" s="20">
        <v>18.100000000000001</v>
      </c>
      <c r="L378" s="17">
        <v>0.67100000000000004</v>
      </c>
      <c r="M378" s="17">
        <v>24</v>
      </c>
      <c r="N378" s="21">
        <v>666</v>
      </c>
      <c r="O378" s="17">
        <v>20.2</v>
      </c>
      <c r="P378" s="22">
        <v>6.649</v>
      </c>
      <c r="Q378" s="23">
        <v>23.24</v>
      </c>
      <c r="R378" s="1">
        <v>13900</v>
      </c>
    </row>
    <row r="379" spans="1:18">
      <c r="A379" s="23">
        <v>21.24</v>
      </c>
      <c r="B379" s="17">
        <f t="shared" si="5"/>
        <v>13300</v>
      </c>
      <c r="C379" s="17">
        <v>13.3</v>
      </c>
      <c r="E379" s="23">
        <v>21.24</v>
      </c>
      <c r="F379" s="22">
        <v>6.7939999999999996</v>
      </c>
      <c r="G379" s="1">
        <v>13300</v>
      </c>
      <c r="I379" s="24">
        <v>3.08</v>
      </c>
      <c r="J379" s="19">
        <v>0.98799999999999999</v>
      </c>
      <c r="K379" s="20">
        <v>18.100000000000001</v>
      </c>
      <c r="L379" s="17">
        <v>0.67100000000000004</v>
      </c>
      <c r="M379" s="17">
        <v>24</v>
      </c>
      <c r="N379" s="21">
        <v>666</v>
      </c>
      <c r="O379" s="17">
        <v>20.2</v>
      </c>
      <c r="P379" s="22">
        <v>6.7939999999999996</v>
      </c>
      <c r="Q379" s="23">
        <v>21.24</v>
      </c>
      <c r="R379" s="1">
        <v>13300</v>
      </c>
    </row>
    <row r="380" spans="1:18">
      <c r="A380" s="23">
        <v>23.69</v>
      </c>
      <c r="B380" s="17">
        <f t="shared" si="5"/>
        <v>13100</v>
      </c>
      <c r="C380" s="17">
        <v>13.1</v>
      </c>
      <c r="E380" s="23">
        <v>23.69</v>
      </c>
      <c r="F380" s="22">
        <v>6.38</v>
      </c>
      <c r="G380" s="1">
        <v>13100</v>
      </c>
      <c r="I380" s="24">
        <v>2.82</v>
      </c>
      <c r="J380" s="19">
        <v>0.96200000000000008</v>
      </c>
      <c r="K380" s="20">
        <v>18.100000000000001</v>
      </c>
      <c r="L380" s="17">
        <v>0.67100000000000004</v>
      </c>
      <c r="M380" s="17">
        <v>24</v>
      </c>
      <c r="N380" s="21">
        <v>666</v>
      </c>
      <c r="O380" s="17">
        <v>20.2</v>
      </c>
      <c r="P380" s="22">
        <v>6.38</v>
      </c>
      <c r="Q380" s="23">
        <v>23.69</v>
      </c>
      <c r="R380" s="1">
        <v>13100</v>
      </c>
    </row>
    <row r="381" spans="1:18">
      <c r="A381" s="23">
        <v>21.78</v>
      </c>
      <c r="B381" s="17">
        <f t="shared" si="5"/>
        <v>10200</v>
      </c>
      <c r="C381" s="17">
        <v>10.199999999999999</v>
      </c>
      <c r="E381" s="23">
        <v>21.78</v>
      </c>
      <c r="F381" s="22">
        <v>6.2229999999999999</v>
      </c>
      <c r="G381" s="1">
        <v>10200</v>
      </c>
      <c r="I381" s="24">
        <v>9.75</v>
      </c>
      <c r="J381" s="19">
        <v>1</v>
      </c>
      <c r="K381" s="20">
        <v>18.100000000000001</v>
      </c>
      <c r="L381" s="17">
        <v>0.67100000000000004</v>
      </c>
      <c r="M381" s="17">
        <v>24</v>
      </c>
      <c r="N381" s="21">
        <v>666</v>
      </c>
      <c r="O381" s="17">
        <v>20.2</v>
      </c>
      <c r="P381" s="22">
        <v>6.2229999999999999</v>
      </c>
      <c r="Q381" s="23">
        <v>21.78</v>
      </c>
      <c r="R381" s="1">
        <v>10200</v>
      </c>
    </row>
    <row r="382" spans="1:18">
      <c r="A382" s="23">
        <v>17.21</v>
      </c>
      <c r="B382" s="17">
        <f t="shared" si="5"/>
        <v>10400</v>
      </c>
      <c r="C382" s="17">
        <v>10.4</v>
      </c>
      <c r="E382" s="23">
        <v>17.21</v>
      </c>
      <c r="F382" s="22">
        <v>6.968</v>
      </c>
      <c r="G382" s="1">
        <v>10400</v>
      </c>
      <c r="I382" s="24">
        <v>0.21</v>
      </c>
      <c r="J382" s="19">
        <v>0.91900000000000004</v>
      </c>
      <c r="K382" s="20">
        <v>18.100000000000001</v>
      </c>
      <c r="L382" s="17">
        <v>0.67100000000000004</v>
      </c>
      <c r="M382" s="17">
        <v>24</v>
      </c>
      <c r="N382" s="21">
        <v>666</v>
      </c>
      <c r="O382" s="17">
        <v>20.2</v>
      </c>
      <c r="P382" s="22">
        <v>6.968</v>
      </c>
      <c r="Q382" s="23">
        <v>17.21</v>
      </c>
      <c r="R382" s="1">
        <v>10400</v>
      </c>
    </row>
    <row r="383" spans="1:18">
      <c r="A383" s="23">
        <v>21.08</v>
      </c>
      <c r="B383" s="17">
        <f t="shared" si="5"/>
        <v>10900</v>
      </c>
      <c r="C383" s="17">
        <v>10.9</v>
      </c>
      <c r="E383" s="23">
        <v>21.08</v>
      </c>
      <c r="F383" s="22">
        <v>6.5449999999999999</v>
      </c>
      <c r="G383" s="1">
        <v>10900</v>
      </c>
      <c r="I383" s="24">
        <v>5.69</v>
      </c>
      <c r="J383" s="19">
        <v>0.99099999999999999</v>
      </c>
      <c r="K383" s="20">
        <v>18.100000000000001</v>
      </c>
      <c r="L383" s="17">
        <v>0.67100000000000004</v>
      </c>
      <c r="M383" s="17">
        <v>24</v>
      </c>
      <c r="N383" s="21">
        <v>666</v>
      </c>
      <c r="O383" s="17">
        <v>20.2</v>
      </c>
      <c r="P383" s="22">
        <v>6.5449999999999999</v>
      </c>
      <c r="Q383" s="23">
        <v>21.08</v>
      </c>
      <c r="R383" s="1">
        <v>10900</v>
      </c>
    </row>
    <row r="384" spans="1:18">
      <c r="A384" s="23">
        <v>23.6</v>
      </c>
      <c r="B384" s="17">
        <f t="shared" si="5"/>
        <v>11300</v>
      </c>
      <c r="C384" s="17">
        <v>11.3</v>
      </c>
      <c r="E384" s="23">
        <v>23.6</v>
      </c>
      <c r="F384" s="22">
        <v>5.5359999999999996</v>
      </c>
      <c r="G384" s="1">
        <v>11300</v>
      </c>
      <c r="I384" s="24">
        <v>7.68</v>
      </c>
      <c r="J384" s="19">
        <v>1</v>
      </c>
      <c r="K384" s="20">
        <v>18.100000000000001</v>
      </c>
      <c r="L384" s="17">
        <v>0.7</v>
      </c>
      <c r="M384" s="17">
        <v>24</v>
      </c>
      <c r="N384" s="21">
        <v>666</v>
      </c>
      <c r="O384" s="17">
        <v>20.2</v>
      </c>
      <c r="P384" s="22">
        <v>5.5359999999999996</v>
      </c>
      <c r="Q384" s="23">
        <v>23.6</v>
      </c>
      <c r="R384" s="1">
        <v>11300</v>
      </c>
    </row>
    <row r="385" spans="1:18">
      <c r="A385" s="23">
        <v>24.56</v>
      </c>
      <c r="B385" s="17">
        <f t="shared" si="5"/>
        <v>12300</v>
      </c>
      <c r="C385" s="17">
        <v>12.3</v>
      </c>
      <c r="E385" s="23">
        <v>24.56</v>
      </c>
      <c r="F385" s="22">
        <v>5.52</v>
      </c>
      <c r="G385" s="1">
        <v>12300</v>
      </c>
      <c r="I385" s="24">
        <v>8.7899999999999991</v>
      </c>
      <c r="J385" s="19">
        <v>1</v>
      </c>
      <c r="K385" s="20">
        <v>18.100000000000001</v>
      </c>
      <c r="L385" s="17">
        <v>0.7</v>
      </c>
      <c r="M385" s="17">
        <v>24</v>
      </c>
      <c r="N385" s="21">
        <v>666</v>
      </c>
      <c r="O385" s="17">
        <v>20.2</v>
      </c>
      <c r="P385" s="22">
        <v>5.52</v>
      </c>
      <c r="Q385" s="23">
        <v>24.56</v>
      </c>
      <c r="R385" s="1">
        <v>12300</v>
      </c>
    </row>
    <row r="386" spans="1:18">
      <c r="A386" s="23">
        <v>30.63</v>
      </c>
      <c r="B386" s="17">
        <f t="shared" si="5"/>
        <v>8800</v>
      </c>
      <c r="C386" s="17">
        <v>8.8000000000000007</v>
      </c>
      <c r="E386" s="23">
        <v>30.63</v>
      </c>
      <c r="F386" s="22">
        <v>4.3680000000000003</v>
      </c>
      <c r="G386" s="1">
        <v>8800</v>
      </c>
      <c r="I386" s="24">
        <v>3.49</v>
      </c>
      <c r="J386" s="19">
        <v>0.91200000000000003</v>
      </c>
      <c r="K386" s="20">
        <v>18.100000000000001</v>
      </c>
      <c r="L386" s="17">
        <v>0.7</v>
      </c>
      <c r="M386" s="17">
        <v>24</v>
      </c>
      <c r="N386" s="21">
        <v>666</v>
      </c>
      <c r="O386" s="17">
        <v>20.2</v>
      </c>
      <c r="P386" s="22">
        <v>4.3680000000000003</v>
      </c>
      <c r="Q386" s="23">
        <v>30.63</v>
      </c>
      <c r="R386" s="1">
        <v>8800</v>
      </c>
    </row>
    <row r="387" spans="1:18">
      <c r="A387" s="23">
        <v>30.81</v>
      </c>
      <c r="B387" s="17">
        <f t="shared" ref="B387:B450" si="6">C387*1000</f>
        <v>7200</v>
      </c>
      <c r="C387" s="17">
        <v>7.2</v>
      </c>
      <c r="E387" s="23">
        <v>30.81</v>
      </c>
      <c r="F387" s="22">
        <v>5.2770000000000001</v>
      </c>
      <c r="G387" s="1">
        <v>7200</v>
      </c>
      <c r="I387" s="24">
        <v>2.81</v>
      </c>
      <c r="J387" s="19">
        <v>0.98099999999999998</v>
      </c>
      <c r="K387" s="20">
        <v>18.100000000000001</v>
      </c>
      <c r="L387" s="17">
        <v>0.7</v>
      </c>
      <c r="M387" s="17">
        <v>24</v>
      </c>
      <c r="N387" s="21">
        <v>666</v>
      </c>
      <c r="O387" s="17">
        <v>20.2</v>
      </c>
      <c r="P387" s="22">
        <v>5.2770000000000001</v>
      </c>
      <c r="Q387" s="23">
        <v>30.81</v>
      </c>
      <c r="R387" s="1">
        <v>7200</v>
      </c>
    </row>
    <row r="388" spans="1:18">
      <c r="A388" s="23">
        <v>28.28</v>
      </c>
      <c r="B388" s="17">
        <f t="shared" si="6"/>
        <v>10500</v>
      </c>
      <c r="C388" s="17">
        <v>10.5</v>
      </c>
      <c r="E388" s="23">
        <v>28.28</v>
      </c>
      <c r="F388" s="22">
        <v>4.6520000000000001</v>
      </c>
      <c r="G388" s="1">
        <v>10500</v>
      </c>
      <c r="I388" s="24">
        <v>7.47</v>
      </c>
      <c r="J388" s="19">
        <v>1</v>
      </c>
      <c r="K388" s="20">
        <v>18.100000000000001</v>
      </c>
      <c r="L388" s="17">
        <v>0.7</v>
      </c>
      <c r="M388" s="17">
        <v>24</v>
      </c>
      <c r="N388" s="21">
        <v>666</v>
      </c>
      <c r="O388" s="17">
        <v>20.2</v>
      </c>
      <c r="P388" s="22">
        <v>4.6520000000000001</v>
      </c>
      <c r="Q388" s="23">
        <v>28.28</v>
      </c>
      <c r="R388" s="1">
        <v>10500</v>
      </c>
    </row>
    <row r="389" spans="1:18">
      <c r="A389" s="23">
        <v>31.99</v>
      </c>
      <c r="B389" s="17">
        <f t="shared" si="6"/>
        <v>7400</v>
      </c>
      <c r="C389" s="17">
        <v>7.4</v>
      </c>
      <c r="E389" s="23">
        <v>31.99</v>
      </c>
      <c r="F389" s="22">
        <v>5</v>
      </c>
      <c r="G389" s="1">
        <v>7400</v>
      </c>
      <c r="I389" s="24">
        <v>0.38</v>
      </c>
      <c r="J389" s="19">
        <v>0.89500000000000002</v>
      </c>
      <c r="K389" s="20">
        <v>18.100000000000001</v>
      </c>
      <c r="L389" s="17">
        <v>0.7</v>
      </c>
      <c r="M389" s="17">
        <v>24</v>
      </c>
      <c r="N389" s="21">
        <v>666</v>
      </c>
      <c r="O389" s="17">
        <v>20.2</v>
      </c>
      <c r="P389" s="22">
        <v>5</v>
      </c>
      <c r="Q389" s="23">
        <v>31.99</v>
      </c>
      <c r="R389" s="1">
        <v>7400</v>
      </c>
    </row>
    <row r="390" spans="1:18">
      <c r="A390" s="23">
        <v>30.62</v>
      </c>
      <c r="B390" s="17">
        <f t="shared" si="6"/>
        <v>10200</v>
      </c>
      <c r="C390" s="17">
        <v>10.199999999999999</v>
      </c>
      <c r="E390" s="23">
        <v>30.62</v>
      </c>
      <c r="F390" s="22">
        <v>4.88</v>
      </c>
      <c r="G390" s="1">
        <v>10200</v>
      </c>
      <c r="I390" s="24">
        <v>5.7</v>
      </c>
      <c r="J390" s="19">
        <v>1</v>
      </c>
      <c r="K390" s="20">
        <v>18.100000000000001</v>
      </c>
      <c r="L390" s="17">
        <v>0.7</v>
      </c>
      <c r="M390" s="17">
        <v>24</v>
      </c>
      <c r="N390" s="21">
        <v>666</v>
      </c>
      <c r="O390" s="17">
        <v>20.2</v>
      </c>
      <c r="P390" s="22">
        <v>4.88</v>
      </c>
      <c r="Q390" s="23">
        <v>30.62</v>
      </c>
      <c r="R390" s="1">
        <v>10200</v>
      </c>
    </row>
    <row r="391" spans="1:18">
      <c r="A391" s="23">
        <v>20.85</v>
      </c>
      <c r="B391" s="17">
        <f t="shared" si="6"/>
        <v>11500</v>
      </c>
      <c r="C391" s="17">
        <v>11.5</v>
      </c>
      <c r="E391" s="23">
        <v>20.85</v>
      </c>
      <c r="F391" s="22">
        <v>5.39</v>
      </c>
      <c r="G391" s="1">
        <v>11500</v>
      </c>
      <c r="I391" s="24">
        <v>5.63</v>
      </c>
      <c r="J391" s="19">
        <v>0.9890000000000001</v>
      </c>
      <c r="K391" s="20">
        <v>18.100000000000001</v>
      </c>
      <c r="L391" s="17">
        <v>0.7</v>
      </c>
      <c r="M391" s="17">
        <v>24</v>
      </c>
      <c r="N391" s="21">
        <v>666</v>
      </c>
      <c r="O391" s="17">
        <v>20.2</v>
      </c>
      <c r="P391" s="22">
        <v>5.39</v>
      </c>
      <c r="Q391" s="23">
        <v>20.85</v>
      </c>
      <c r="R391" s="1">
        <v>11500</v>
      </c>
    </row>
    <row r="392" spans="1:18">
      <c r="A392" s="23">
        <v>17.11</v>
      </c>
      <c r="B392" s="17">
        <f t="shared" si="6"/>
        <v>15100</v>
      </c>
      <c r="C392" s="17">
        <v>15.1</v>
      </c>
      <c r="E392" s="23">
        <v>17.11</v>
      </c>
      <c r="F392" s="22">
        <v>5.7130000000000001</v>
      </c>
      <c r="G392" s="1">
        <v>15100</v>
      </c>
      <c r="I392" s="24">
        <v>9.56</v>
      </c>
      <c r="J392" s="19">
        <v>0.97</v>
      </c>
      <c r="K392" s="20">
        <v>18.100000000000001</v>
      </c>
      <c r="L392" s="17">
        <v>0.7</v>
      </c>
      <c r="M392" s="17">
        <v>24</v>
      </c>
      <c r="N392" s="21">
        <v>666</v>
      </c>
      <c r="O392" s="17">
        <v>20.2</v>
      </c>
      <c r="P392" s="22">
        <v>5.7130000000000001</v>
      </c>
      <c r="Q392" s="23">
        <v>17.11</v>
      </c>
      <c r="R392" s="1">
        <v>15100</v>
      </c>
    </row>
    <row r="393" spans="1:18">
      <c r="A393" s="23">
        <v>18.760000000000002</v>
      </c>
      <c r="B393" s="17">
        <f t="shared" si="6"/>
        <v>23200</v>
      </c>
      <c r="C393" s="17">
        <v>23.2</v>
      </c>
      <c r="E393" s="23">
        <v>18.760000000000002</v>
      </c>
      <c r="F393" s="22">
        <v>6.0510000000000002</v>
      </c>
      <c r="G393" s="1">
        <v>23200</v>
      </c>
      <c r="I393" s="24">
        <v>0.74</v>
      </c>
      <c r="J393" s="19">
        <v>0.82500000000000007</v>
      </c>
      <c r="K393" s="20">
        <v>18.100000000000001</v>
      </c>
      <c r="L393" s="17">
        <v>0.7</v>
      </c>
      <c r="M393" s="17">
        <v>24</v>
      </c>
      <c r="N393" s="21">
        <v>666</v>
      </c>
      <c r="O393" s="17">
        <v>20.2</v>
      </c>
      <c r="P393" s="22">
        <v>6.0510000000000002</v>
      </c>
      <c r="Q393" s="23">
        <v>18.760000000000002</v>
      </c>
      <c r="R393" s="1">
        <v>23200</v>
      </c>
    </row>
    <row r="394" spans="1:18">
      <c r="A394" s="23">
        <v>25.68</v>
      </c>
      <c r="B394" s="17">
        <f t="shared" si="6"/>
        <v>9700</v>
      </c>
      <c r="C394" s="17">
        <v>9.6999999999999993</v>
      </c>
      <c r="E394" s="23">
        <v>25.68</v>
      </c>
      <c r="F394" s="22">
        <v>5.0359999999999996</v>
      </c>
      <c r="G394" s="1">
        <v>9700</v>
      </c>
      <c r="I394" s="24">
        <v>0.06</v>
      </c>
      <c r="J394" s="19">
        <v>0.97</v>
      </c>
      <c r="K394" s="20">
        <v>18.100000000000001</v>
      </c>
      <c r="L394" s="17">
        <v>0.7</v>
      </c>
      <c r="M394" s="17">
        <v>24</v>
      </c>
      <c r="N394" s="21">
        <v>666</v>
      </c>
      <c r="O394" s="17">
        <v>20.2</v>
      </c>
      <c r="P394" s="22">
        <v>5.0359999999999996</v>
      </c>
      <c r="Q394" s="23">
        <v>25.68</v>
      </c>
      <c r="R394" s="1">
        <v>9700</v>
      </c>
    </row>
    <row r="395" spans="1:18">
      <c r="A395" s="23">
        <v>15.17</v>
      </c>
      <c r="B395" s="17">
        <f t="shared" si="6"/>
        <v>13800</v>
      </c>
      <c r="C395" s="17">
        <v>13.8</v>
      </c>
      <c r="E395" s="23">
        <v>15.17</v>
      </c>
      <c r="F395" s="22">
        <v>6.1929999999999996</v>
      </c>
      <c r="G395" s="1">
        <v>13800</v>
      </c>
      <c r="I395" s="24">
        <v>0.46</v>
      </c>
      <c r="J395" s="19">
        <v>0.92599999999999993</v>
      </c>
      <c r="K395" s="20">
        <v>18.100000000000001</v>
      </c>
      <c r="L395" s="17">
        <v>0.69299999999999995</v>
      </c>
      <c r="M395" s="17">
        <v>24</v>
      </c>
      <c r="N395" s="21">
        <v>666</v>
      </c>
      <c r="O395" s="17">
        <v>20.2</v>
      </c>
      <c r="P395" s="22">
        <v>6.1929999999999996</v>
      </c>
      <c r="Q395" s="23">
        <v>15.17</v>
      </c>
      <c r="R395" s="1">
        <v>13800</v>
      </c>
    </row>
    <row r="396" spans="1:18">
      <c r="A396" s="23">
        <v>16.350000000000001</v>
      </c>
      <c r="B396" s="17">
        <f t="shared" si="6"/>
        <v>12700</v>
      </c>
      <c r="C396" s="17">
        <v>12.7</v>
      </c>
      <c r="E396" s="23">
        <v>16.350000000000001</v>
      </c>
      <c r="F396" s="22">
        <v>5.8869999999999996</v>
      </c>
      <c r="G396" s="1">
        <v>12700</v>
      </c>
      <c r="I396" s="24">
        <v>1.28</v>
      </c>
      <c r="J396" s="19">
        <v>0.94700000000000006</v>
      </c>
      <c r="K396" s="20">
        <v>18.100000000000001</v>
      </c>
      <c r="L396" s="17">
        <v>0.69299999999999995</v>
      </c>
      <c r="M396" s="17">
        <v>24</v>
      </c>
      <c r="N396" s="21">
        <v>666</v>
      </c>
      <c r="O396" s="17">
        <v>20.2</v>
      </c>
      <c r="P396" s="22">
        <v>5.8869999999999996</v>
      </c>
      <c r="Q396" s="23">
        <v>16.350000000000001</v>
      </c>
      <c r="R396" s="1">
        <v>12700</v>
      </c>
    </row>
    <row r="397" spans="1:18">
      <c r="A397" s="23">
        <v>17.12</v>
      </c>
      <c r="B397" s="17">
        <f t="shared" si="6"/>
        <v>13100</v>
      </c>
      <c r="C397" s="17">
        <v>13.1</v>
      </c>
      <c r="E397" s="23">
        <v>17.12</v>
      </c>
      <c r="F397" s="22">
        <v>6.4710000000000001</v>
      </c>
      <c r="G397" s="1">
        <v>13100</v>
      </c>
      <c r="I397" s="24">
        <v>5.24</v>
      </c>
      <c r="J397" s="19">
        <v>0.98799999999999999</v>
      </c>
      <c r="K397" s="20">
        <v>18.100000000000001</v>
      </c>
      <c r="L397" s="17">
        <v>0.69299999999999995</v>
      </c>
      <c r="M397" s="17">
        <v>24</v>
      </c>
      <c r="N397" s="21">
        <v>666</v>
      </c>
      <c r="O397" s="17">
        <v>20.2</v>
      </c>
      <c r="P397" s="22">
        <v>6.4710000000000001</v>
      </c>
      <c r="Q397" s="23">
        <v>17.12</v>
      </c>
      <c r="R397" s="1">
        <v>13100</v>
      </c>
    </row>
    <row r="398" spans="1:18">
      <c r="A398" s="23">
        <v>19.37</v>
      </c>
      <c r="B398" s="17">
        <f t="shared" si="6"/>
        <v>12500</v>
      </c>
      <c r="C398" s="17">
        <v>12.5</v>
      </c>
      <c r="E398" s="23">
        <v>19.37</v>
      </c>
      <c r="F398" s="22">
        <v>6.4050000000000002</v>
      </c>
      <c r="G398" s="1">
        <v>12500</v>
      </c>
      <c r="I398" s="24">
        <v>4.78</v>
      </c>
      <c r="J398" s="19">
        <v>0.96</v>
      </c>
      <c r="K398" s="20">
        <v>18.100000000000001</v>
      </c>
      <c r="L398" s="17">
        <v>0.69299999999999995</v>
      </c>
      <c r="M398" s="17">
        <v>24</v>
      </c>
      <c r="N398" s="21">
        <v>666</v>
      </c>
      <c r="O398" s="17">
        <v>20.2</v>
      </c>
      <c r="P398" s="22">
        <v>6.4050000000000002</v>
      </c>
      <c r="Q398" s="23">
        <v>19.37</v>
      </c>
      <c r="R398" s="1">
        <v>12500</v>
      </c>
    </row>
    <row r="399" spans="1:18">
      <c r="A399" s="23">
        <v>19.920000000000002</v>
      </c>
      <c r="B399" s="17">
        <f t="shared" si="6"/>
        <v>8500</v>
      </c>
      <c r="C399" s="17">
        <v>8.5</v>
      </c>
      <c r="E399" s="23">
        <v>19.920000000000002</v>
      </c>
      <c r="F399" s="22">
        <v>5.7469999999999999</v>
      </c>
      <c r="G399" s="1">
        <v>8500</v>
      </c>
      <c r="I399" s="24">
        <v>5.8</v>
      </c>
      <c r="J399" s="19">
        <v>0.9890000000000001</v>
      </c>
      <c r="K399" s="20">
        <v>18.100000000000001</v>
      </c>
      <c r="L399" s="17">
        <v>0.69299999999999995</v>
      </c>
      <c r="M399" s="17">
        <v>24</v>
      </c>
      <c r="N399" s="21">
        <v>666</v>
      </c>
      <c r="O399" s="17">
        <v>20.2</v>
      </c>
      <c r="P399" s="22">
        <v>5.7469999999999999</v>
      </c>
      <c r="Q399" s="23">
        <v>19.920000000000002</v>
      </c>
      <c r="R399" s="1">
        <v>8500</v>
      </c>
    </row>
    <row r="400" spans="1:18">
      <c r="A400" s="23">
        <v>30.59</v>
      </c>
      <c r="B400" s="17">
        <f t="shared" si="6"/>
        <v>5000</v>
      </c>
      <c r="C400" s="17">
        <v>5</v>
      </c>
      <c r="E400" s="23">
        <v>30.59</v>
      </c>
      <c r="F400" s="22">
        <v>5.4530000000000003</v>
      </c>
      <c r="G400" s="1">
        <v>5000</v>
      </c>
      <c r="I400" s="24">
        <v>1.22</v>
      </c>
      <c r="J400" s="19">
        <v>1</v>
      </c>
      <c r="K400" s="20">
        <v>18.100000000000001</v>
      </c>
      <c r="L400" s="17">
        <v>0.69299999999999995</v>
      </c>
      <c r="M400" s="17">
        <v>24</v>
      </c>
      <c r="N400" s="21">
        <v>666</v>
      </c>
      <c r="O400" s="17">
        <v>20.2</v>
      </c>
      <c r="P400" s="22">
        <v>5.4530000000000003</v>
      </c>
      <c r="Q400" s="23">
        <v>30.59</v>
      </c>
      <c r="R400" s="1">
        <v>5000</v>
      </c>
    </row>
    <row r="401" spans="1:18">
      <c r="A401" s="23">
        <v>29.97</v>
      </c>
      <c r="B401" s="17">
        <f t="shared" si="6"/>
        <v>6300</v>
      </c>
      <c r="C401" s="17">
        <v>6.3</v>
      </c>
      <c r="E401" s="23">
        <v>29.97</v>
      </c>
      <c r="F401" s="22">
        <v>5.8520000000000003</v>
      </c>
      <c r="G401" s="1">
        <v>6300</v>
      </c>
      <c r="I401" s="24">
        <v>5.93</v>
      </c>
      <c r="J401" s="19">
        <v>0.77800000000000002</v>
      </c>
      <c r="K401" s="20">
        <v>18.100000000000001</v>
      </c>
      <c r="L401" s="17">
        <v>0.69299999999999995</v>
      </c>
      <c r="M401" s="17">
        <v>24</v>
      </c>
      <c r="N401" s="21">
        <v>666</v>
      </c>
      <c r="O401" s="17">
        <v>20.2</v>
      </c>
      <c r="P401" s="22">
        <v>5.8520000000000003</v>
      </c>
      <c r="Q401" s="23">
        <v>29.97</v>
      </c>
      <c r="R401" s="1">
        <v>6300</v>
      </c>
    </row>
    <row r="402" spans="1:18">
      <c r="A402" s="23">
        <v>26.77</v>
      </c>
      <c r="B402" s="17">
        <f t="shared" si="6"/>
        <v>5600</v>
      </c>
      <c r="C402" s="17">
        <v>5.6</v>
      </c>
      <c r="E402" s="23">
        <v>26.77</v>
      </c>
      <c r="F402" s="22">
        <v>5.9870000000000001</v>
      </c>
      <c r="G402" s="1">
        <v>5600</v>
      </c>
      <c r="I402" s="24">
        <v>4.1399999999999997</v>
      </c>
      <c r="J402" s="19">
        <v>1</v>
      </c>
      <c r="K402" s="20">
        <v>18.100000000000001</v>
      </c>
      <c r="L402" s="17">
        <v>0.69299999999999995</v>
      </c>
      <c r="M402" s="17">
        <v>24</v>
      </c>
      <c r="N402" s="21">
        <v>666</v>
      </c>
      <c r="O402" s="17">
        <v>20.2</v>
      </c>
      <c r="P402" s="22">
        <v>5.9870000000000001</v>
      </c>
      <c r="Q402" s="23">
        <v>26.77</v>
      </c>
      <c r="R402" s="1">
        <v>5600</v>
      </c>
    </row>
    <row r="403" spans="1:18">
      <c r="A403" s="23">
        <v>20.32</v>
      </c>
      <c r="B403" s="17">
        <f t="shared" si="6"/>
        <v>7200</v>
      </c>
      <c r="C403" s="17">
        <v>7.2</v>
      </c>
      <c r="E403" s="23">
        <v>20.32</v>
      </c>
      <c r="F403" s="22">
        <v>6.343</v>
      </c>
      <c r="G403" s="1">
        <v>7200</v>
      </c>
      <c r="I403" s="24">
        <v>1.3</v>
      </c>
      <c r="J403" s="19">
        <v>1</v>
      </c>
      <c r="K403" s="20">
        <v>18.100000000000001</v>
      </c>
      <c r="L403" s="17">
        <v>0.69299999999999995</v>
      </c>
      <c r="M403" s="17">
        <v>24</v>
      </c>
      <c r="N403" s="21">
        <v>666</v>
      </c>
      <c r="O403" s="17">
        <v>20.2</v>
      </c>
      <c r="P403" s="22">
        <v>6.343</v>
      </c>
      <c r="Q403" s="23">
        <v>20.32</v>
      </c>
      <c r="R403" s="1">
        <v>7200</v>
      </c>
    </row>
    <row r="404" spans="1:18">
      <c r="A404" s="23">
        <v>20.309999999999999</v>
      </c>
      <c r="B404" s="17">
        <f t="shared" si="6"/>
        <v>12100</v>
      </c>
      <c r="C404" s="17">
        <v>12.1</v>
      </c>
      <c r="E404" s="23">
        <v>20.309999999999999</v>
      </c>
      <c r="F404" s="22">
        <v>6.4039999999999999</v>
      </c>
      <c r="G404" s="1">
        <v>12100</v>
      </c>
      <c r="I404" s="24">
        <v>8.65</v>
      </c>
      <c r="J404" s="19">
        <v>1</v>
      </c>
      <c r="K404" s="20">
        <v>18.100000000000001</v>
      </c>
      <c r="L404" s="17">
        <v>0.69299999999999995</v>
      </c>
      <c r="M404" s="17">
        <v>24</v>
      </c>
      <c r="N404" s="21">
        <v>666</v>
      </c>
      <c r="O404" s="17">
        <v>20.2</v>
      </c>
      <c r="P404" s="22">
        <v>6.4039999999999999</v>
      </c>
      <c r="Q404" s="23">
        <v>20.309999999999999</v>
      </c>
      <c r="R404" s="1">
        <v>12100</v>
      </c>
    </row>
    <row r="405" spans="1:18">
      <c r="A405" s="23">
        <v>19.77</v>
      </c>
      <c r="B405" s="17">
        <f t="shared" si="6"/>
        <v>8300</v>
      </c>
      <c r="C405" s="17">
        <v>8.3000000000000007</v>
      </c>
      <c r="E405" s="23">
        <v>19.77</v>
      </c>
      <c r="F405" s="22">
        <v>5.3490000000000002</v>
      </c>
      <c r="G405" s="1">
        <v>8300</v>
      </c>
      <c r="I405" s="24">
        <v>4</v>
      </c>
      <c r="J405" s="19">
        <v>0.96</v>
      </c>
      <c r="K405" s="20">
        <v>18.100000000000001</v>
      </c>
      <c r="L405" s="17">
        <v>0.69299999999999995</v>
      </c>
      <c r="M405" s="17">
        <v>24</v>
      </c>
      <c r="N405" s="21">
        <v>666</v>
      </c>
      <c r="O405" s="17">
        <v>20.2</v>
      </c>
      <c r="P405" s="22">
        <v>5.3490000000000002</v>
      </c>
      <c r="Q405" s="23">
        <v>19.77</v>
      </c>
      <c r="R405" s="1">
        <v>8300</v>
      </c>
    </row>
    <row r="406" spans="1:18">
      <c r="A406" s="23">
        <v>27.38</v>
      </c>
      <c r="B406" s="17">
        <f t="shared" si="6"/>
        <v>8500</v>
      </c>
      <c r="C406" s="17">
        <v>8.5</v>
      </c>
      <c r="E406" s="23">
        <v>27.38</v>
      </c>
      <c r="F406" s="22">
        <v>5.5309999999999997</v>
      </c>
      <c r="G406" s="1">
        <v>8500</v>
      </c>
      <c r="I406" s="24">
        <v>0.74</v>
      </c>
      <c r="J406" s="19">
        <v>0.85400000000000009</v>
      </c>
      <c r="K406" s="20">
        <v>18.100000000000001</v>
      </c>
      <c r="L406" s="17">
        <v>0.69299999999999995</v>
      </c>
      <c r="M406" s="17">
        <v>24</v>
      </c>
      <c r="N406" s="21">
        <v>666</v>
      </c>
      <c r="O406" s="17">
        <v>20.2</v>
      </c>
      <c r="P406" s="22">
        <v>5.5309999999999997</v>
      </c>
      <c r="Q406" s="23">
        <v>27.38</v>
      </c>
      <c r="R406" s="1">
        <v>8500</v>
      </c>
    </row>
    <row r="407" spans="1:18">
      <c r="A407" s="23">
        <v>22.98</v>
      </c>
      <c r="B407" s="17">
        <f t="shared" si="6"/>
        <v>5000</v>
      </c>
      <c r="C407" s="17">
        <v>5</v>
      </c>
      <c r="E407" s="23">
        <v>22.98</v>
      </c>
      <c r="F407" s="22">
        <v>5.6829999999999998</v>
      </c>
      <c r="G407" s="1">
        <v>5000</v>
      </c>
      <c r="I407" s="24">
        <v>1.1599999999999999</v>
      </c>
      <c r="J407" s="19">
        <v>1</v>
      </c>
      <c r="K407" s="20">
        <v>18.100000000000001</v>
      </c>
      <c r="L407" s="17">
        <v>0.69299999999999995</v>
      </c>
      <c r="M407" s="17">
        <v>24</v>
      </c>
      <c r="N407" s="21">
        <v>666</v>
      </c>
      <c r="O407" s="17">
        <v>20.2</v>
      </c>
      <c r="P407" s="22">
        <v>5.6829999999999998</v>
      </c>
      <c r="Q407" s="23">
        <v>22.98</v>
      </c>
      <c r="R407" s="1">
        <v>5000</v>
      </c>
    </row>
    <row r="408" spans="1:18">
      <c r="A408" s="23">
        <v>23.34</v>
      </c>
      <c r="B408" s="17">
        <f t="shared" si="6"/>
        <v>11900</v>
      </c>
      <c r="C408" s="17">
        <v>11.9</v>
      </c>
      <c r="E408" s="23">
        <v>23.34</v>
      </c>
      <c r="F408" s="22">
        <v>4.1379999999999999</v>
      </c>
      <c r="G408" s="1">
        <v>11900</v>
      </c>
      <c r="I408" s="24">
        <v>4.8899999999999997</v>
      </c>
      <c r="J408" s="19">
        <v>1</v>
      </c>
      <c r="K408" s="20">
        <v>18.100000000000001</v>
      </c>
      <c r="L408" s="17">
        <v>0.65900000000000003</v>
      </c>
      <c r="M408" s="17">
        <v>24</v>
      </c>
      <c r="N408" s="21">
        <v>666</v>
      </c>
      <c r="O408" s="17">
        <v>20.2</v>
      </c>
      <c r="P408" s="22">
        <v>4.1379999999999999</v>
      </c>
      <c r="Q408" s="23">
        <v>23.34</v>
      </c>
      <c r="R408" s="1">
        <v>11900</v>
      </c>
    </row>
    <row r="409" spans="1:18">
      <c r="A409" s="23">
        <v>12.13</v>
      </c>
      <c r="B409" s="17">
        <f t="shared" si="6"/>
        <v>27900</v>
      </c>
      <c r="C409" s="17">
        <v>27.9</v>
      </c>
      <c r="E409" s="23">
        <v>12.13</v>
      </c>
      <c r="F409" s="22">
        <v>5.6079999999999997</v>
      </c>
      <c r="G409" s="1">
        <v>27900</v>
      </c>
      <c r="I409" s="24">
        <v>1.65</v>
      </c>
      <c r="J409" s="19">
        <v>1</v>
      </c>
      <c r="K409" s="20">
        <v>18.100000000000001</v>
      </c>
      <c r="L409" s="17">
        <v>0.65900000000000003</v>
      </c>
      <c r="M409" s="17">
        <v>24</v>
      </c>
      <c r="N409" s="21">
        <v>666</v>
      </c>
      <c r="O409" s="17">
        <v>20.2</v>
      </c>
      <c r="P409" s="22">
        <v>5.6079999999999997</v>
      </c>
      <c r="Q409" s="23">
        <v>12.13</v>
      </c>
      <c r="R409" s="1">
        <v>27900</v>
      </c>
    </row>
    <row r="410" spans="1:18">
      <c r="A410" s="23">
        <v>26.4</v>
      </c>
      <c r="B410" s="17">
        <f t="shared" si="6"/>
        <v>17200</v>
      </c>
      <c r="C410" s="17">
        <v>17.2</v>
      </c>
      <c r="E410" s="23">
        <v>26.4</v>
      </c>
      <c r="F410" s="22">
        <v>5.617</v>
      </c>
      <c r="G410" s="1">
        <v>17200</v>
      </c>
      <c r="I410" s="24">
        <v>5.75</v>
      </c>
      <c r="J410" s="19">
        <v>0.97900000000000009</v>
      </c>
      <c r="K410" s="20">
        <v>18.100000000000001</v>
      </c>
      <c r="L410" s="17">
        <v>0.59699999999999998</v>
      </c>
      <c r="M410" s="17">
        <v>24</v>
      </c>
      <c r="N410" s="21">
        <v>666</v>
      </c>
      <c r="O410" s="17">
        <v>20.2</v>
      </c>
      <c r="P410" s="22">
        <v>5.617</v>
      </c>
      <c r="Q410" s="23">
        <v>26.4</v>
      </c>
      <c r="R410" s="1">
        <v>17200</v>
      </c>
    </row>
    <row r="411" spans="1:18">
      <c r="A411" s="23">
        <v>19.78</v>
      </c>
      <c r="B411" s="17">
        <f t="shared" si="6"/>
        <v>27500</v>
      </c>
      <c r="C411" s="17">
        <v>27.5</v>
      </c>
      <c r="E411" s="23">
        <v>19.78</v>
      </c>
      <c r="F411" s="22">
        <v>6.8520000000000003</v>
      </c>
      <c r="G411" s="1">
        <v>27500</v>
      </c>
      <c r="I411" s="24">
        <v>8.1300000000000008</v>
      </c>
      <c r="J411" s="19">
        <v>1</v>
      </c>
      <c r="K411" s="20">
        <v>18.100000000000001</v>
      </c>
      <c r="L411" s="17">
        <v>0.59699999999999998</v>
      </c>
      <c r="M411" s="17">
        <v>24</v>
      </c>
      <c r="N411" s="21">
        <v>666</v>
      </c>
      <c r="O411" s="17">
        <v>20.2</v>
      </c>
      <c r="P411" s="22">
        <v>6.8520000000000003</v>
      </c>
      <c r="Q411" s="23">
        <v>19.78</v>
      </c>
      <c r="R411" s="1">
        <v>27500</v>
      </c>
    </row>
    <row r="412" spans="1:18">
      <c r="A412" s="23">
        <v>10.11</v>
      </c>
      <c r="B412" s="17">
        <f t="shared" si="6"/>
        <v>15000</v>
      </c>
      <c r="C412" s="17">
        <v>15</v>
      </c>
      <c r="E412" s="23">
        <v>10.11</v>
      </c>
      <c r="F412" s="22">
        <v>5.7569999999999997</v>
      </c>
      <c r="G412" s="1">
        <v>15000</v>
      </c>
      <c r="I412" s="24">
        <v>5</v>
      </c>
      <c r="J412" s="19">
        <v>1</v>
      </c>
      <c r="K412" s="20">
        <v>18.100000000000001</v>
      </c>
      <c r="L412" s="17">
        <v>0.59699999999999998</v>
      </c>
      <c r="M412" s="17">
        <v>24</v>
      </c>
      <c r="N412" s="21">
        <v>666</v>
      </c>
      <c r="O412" s="17">
        <v>20.2</v>
      </c>
      <c r="P412" s="22">
        <v>5.7569999999999997</v>
      </c>
      <c r="Q412" s="23">
        <v>10.11</v>
      </c>
      <c r="R412" s="1">
        <v>15000</v>
      </c>
    </row>
    <row r="413" spans="1:18">
      <c r="A413" s="23">
        <v>21.22</v>
      </c>
      <c r="B413" s="17">
        <f t="shared" si="6"/>
        <v>17200</v>
      </c>
      <c r="C413" s="17">
        <v>17.2</v>
      </c>
      <c r="E413" s="23">
        <v>21.22</v>
      </c>
      <c r="F413" s="22">
        <v>6.657</v>
      </c>
      <c r="G413" s="1">
        <v>17200</v>
      </c>
      <c r="I413" s="24">
        <v>5.84</v>
      </c>
      <c r="J413" s="19">
        <v>1</v>
      </c>
      <c r="K413" s="20">
        <v>18.100000000000001</v>
      </c>
      <c r="L413" s="17">
        <v>0.59699999999999998</v>
      </c>
      <c r="M413" s="17">
        <v>24</v>
      </c>
      <c r="N413" s="21">
        <v>666</v>
      </c>
      <c r="O413" s="17">
        <v>20.2</v>
      </c>
      <c r="P413" s="22">
        <v>6.657</v>
      </c>
      <c r="Q413" s="23">
        <v>21.22</v>
      </c>
      <c r="R413" s="1">
        <v>17200</v>
      </c>
    </row>
    <row r="414" spans="1:18">
      <c r="A414" s="23">
        <v>34.369999999999997</v>
      </c>
      <c r="B414" s="17">
        <f t="shared" si="6"/>
        <v>17900</v>
      </c>
      <c r="C414" s="17">
        <v>17.899999999999999</v>
      </c>
      <c r="E414" s="23">
        <v>34.369999999999997</v>
      </c>
      <c r="F414" s="22">
        <v>4.6280000000000001</v>
      </c>
      <c r="G414" s="1">
        <v>17900</v>
      </c>
      <c r="I414" s="24">
        <v>4.47</v>
      </c>
      <c r="J414" s="19">
        <v>1</v>
      </c>
      <c r="K414" s="20">
        <v>18.100000000000001</v>
      </c>
      <c r="L414" s="17">
        <v>0.59699999999999998</v>
      </c>
      <c r="M414" s="17">
        <v>24</v>
      </c>
      <c r="N414" s="21">
        <v>666</v>
      </c>
      <c r="O414" s="17">
        <v>20.2</v>
      </c>
      <c r="P414" s="22">
        <v>4.6280000000000001</v>
      </c>
      <c r="Q414" s="23">
        <v>34.369999999999997</v>
      </c>
      <c r="R414" s="1">
        <v>17900</v>
      </c>
    </row>
    <row r="415" spans="1:18">
      <c r="A415" s="23">
        <v>20.079999999999998</v>
      </c>
      <c r="B415" s="17">
        <f t="shared" si="6"/>
        <v>16300</v>
      </c>
      <c r="C415" s="17">
        <v>16.3</v>
      </c>
      <c r="E415" s="23">
        <v>20.079999999999998</v>
      </c>
      <c r="F415" s="22">
        <v>5.1550000000000002</v>
      </c>
      <c r="G415" s="1">
        <v>16300</v>
      </c>
      <c r="I415" s="24">
        <v>1.83</v>
      </c>
      <c r="J415" s="19">
        <v>1</v>
      </c>
      <c r="K415" s="20">
        <v>18.100000000000001</v>
      </c>
      <c r="L415" s="17">
        <v>0.59699999999999998</v>
      </c>
      <c r="M415" s="17">
        <v>24</v>
      </c>
      <c r="N415" s="21">
        <v>666</v>
      </c>
      <c r="O415" s="17">
        <v>20.2</v>
      </c>
      <c r="P415" s="22">
        <v>5.1550000000000002</v>
      </c>
      <c r="Q415" s="23">
        <v>20.079999999999998</v>
      </c>
      <c r="R415" s="1">
        <v>16300</v>
      </c>
    </row>
    <row r="416" spans="1:18">
      <c r="A416" s="23">
        <v>36.979999999999997</v>
      </c>
      <c r="B416" s="17">
        <f t="shared" si="6"/>
        <v>7000</v>
      </c>
      <c r="C416" s="17">
        <v>7</v>
      </c>
      <c r="E416" s="23">
        <v>36.979999999999997</v>
      </c>
      <c r="F416" s="22">
        <v>4.5190000000000001</v>
      </c>
      <c r="G416" s="1">
        <v>7000</v>
      </c>
      <c r="I416" s="24">
        <v>9.83</v>
      </c>
      <c r="J416" s="19">
        <v>1</v>
      </c>
      <c r="K416" s="20">
        <v>18.100000000000001</v>
      </c>
      <c r="L416" s="17">
        <v>0.69299999999999995</v>
      </c>
      <c r="M416" s="17">
        <v>24</v>
      </c>
      <c r="N416" s="21">
        <v>666</v>
      </c>
      <c r="O416" s="17">
        <v>20.2</v>
      </c>
      <c r="P416" s="22">
        <v>4.5190000000000001</v>
      </c>
      <c r="Q416" s="23">
        <v>36.979999999999997</v>
      </c>
      <c r="R416" s="1">
        <v>7000</v>
      </c>
    </row>
    <row r="417" spans="1:18">
      <c r="A417" s="23">
        <v>29.05</v>
      </c>
      <c r="B417" s="17">
        <f t="shared" si="6"/>
        <v>7200</v>
      </c>
      <c r="C417" s="17">
        <v>7.2</v>
      </c>
      <c r="E417" s="23">
        <v>29.05</v>
      </c>
      <c r="F417" s="22">
        <v>6.4340000000000002</v>
      </c>
      <c r="G417" s="1">
        <v>7200</v>
      </c>
      <c r="I417" s="24">
        <v>8.66</v>
      </c>
      <c r="J417" s="19">
        <v>1</v>
      </c>
      <c r="K417" s="20">
        <v>18.100000000000001</v>
      </c>
      <c r="L417" s="17">
        <v>0.67900000000000005</v>
      </c>
      <c r="M417" s="17">
        <v>24</v>
      </c>
      <c r="N417" s="21">
        <v>666</v>
      </c>
      <c r="O417" s="17">
        <v>20.2</v>
      </c>
      <c r="P417" s="22">
        <v>6.4340000000000002</v>
      </c>
      <c r="Q417" s="23">
        <v>29.05</v>
      </c>
      <c r="R417" s="1">
        <v>7200</v>
      </c>
    </row>
    <row r="418" spans="1:18">
      <c r="A418" s="23">
        <v>25.79</v>
      </c>
      <c r="B418" s="17">
        <f t="shared" si="6"/>
        <v>7500</v>
      </c>
      <c r="C418" s="17">
        <v>7.5</v>
      </c>
      <c r="E418" s="23">
        <v>25.79</v>
      </c>
      <c r="F418" s="22">
        <v>6.782</v>
      </c>
      <c r="G418" s="1">
        <v>7500</v>
      </c>
      <c r="I418" s="24">
        <v>9.66</v>
      </c>
      <c r="J418" s="19">
        <v>0.90800000000000003</v>
      </c>
      <c r="K418" s="20">
        <v>18.100000000000001</v>
      </c>
      <c r="L418" s="17">
        <v>0.67900000000000005</v>
      </c>
      <c r="M418" s="17">
        <v>24</v>
      </c>
      <c r="N418" s="21">
        <v>666</v>
      </c>
      <c r="O418" s="17">
        <v>20.2</v>
      </c>
      <c r="P418" s="22">
        <v>6.782</v>
      </c>
      <c r="Q418" s="23">
        <v>25.79</v>
      </c>
      <c r="R418" s="1">
        <v>7500</v>
      </c>
    </row>
    <row r="419" spans="1:18">
      <c r="A419" s="23">
        <v>26.64</v>
      </c>
      <c r="B419" s="17">
        <f t="shared" si="6"/>
        <v>10400</v>
      </c>
      <c r="C419" s="17">
        <v>10.4</v>
      </c>
      <c r="E419" s="23">
        <v>26.64</v>
      </c>
      <c r="F419" s="22">
        <v>5.3040000000000003</v>
      </c>
      <c r="G419" s="1">
        <v>10400</v>
      </c>
      <c r="I419" s="24">
        <v>9.82</v>
      </c>
      <c r="J419" s="19">
        <v>0.89100000000000001</v>
      </c>
      <c r="K419" s="20">
        <v>18.100000000000001</v>
      </c>
      <c r="L419" s="17">
        <v>0.67900000000000005</v>
      </c>
      <c r="M419" s="17">
        <v>24</v>
      </c>
      <c r="N419" s="21">
        <v>666</v>
      </c>
      <c r="O419" s="17">
        <v>20.2</v>
      </c>
      <c r="P419" s="22">
        <v>5.3040000000000003</v>
      </c>
      <c r="Q419" s="23">
        <v>26.64</v>
      </c>
      <c r="R419" s="1">
        <v>10400</v>
      </c>
    </row>
    <row r="420" spans="1:18">
      <c r="A420" s="23">
        <v>20.62</v>
      </c>
      <c r="B420" s="17">
        <f t="shared" si="6"/>
        <v>8800</v>
      </c>
      <c r="C420" s="17">
        <v>8.8000000000000007</v>
      </c>
      <c r="E420" s="23">
        <v>20.62</v>
      </c>
      <c r="F420" s="22">
        <v>5.9569999999999999</v>
      </c>
      <c r="G420" s="1">
        <v>8800</v>
      </c>
      <c r="I420" s="24">
        <v>6.11</v>
      </c>
      <c r="J420" s="19">
        <v>1</v>
      </c>
      <c r="K420" s="20">
        <v>18.100000000000001</v>
      </c>
      <c r="L420" s="17">
        <v>0.67900000000000005</v>
      </c>
      <c r="M420" s="17">
        <v>24</v>
      </c>
      <c r="N420" s="21">
        <v>666</v>
      </c>
      <c r="O420" s="17">
        <v>20.2</v>
      </c>
      <c r="P420" s="22">
        <v>5.9569999999999999</v>
      </c>
      <c r="Q420" s="23">
        <v>20.62</v>
      </c>
      <c r="R420" s="1">
        <v>8800</v>
      </c>
    </row>
    <row r="421" spans="1:18">
      <c r="A421" s="23">
        <v>22.74</v>
      </c>
      <c r="B421" s="17">
        <f t="shared" si="6"/>
        <v>8400</v>
      </c>
      <c r="C421" s="17">
        <v>8.4</v>
      </c>
      <c r="E421" s="23">
        <v>22.74</v>
      </c>
      <c r="F421" s="22">
        <v>6.8239999999999998</v>
      </c>
      <c r="G421" s="1">
        <v>8400</v>
      </c>
      <c r="I421" s="24">
        <v>5.26</v>
      </c>
      <c r="J421" s="19">
        <v>0.76500000000000001</v>
      </c>
      <c r="K421" s="20">
        <v>18.100000000000001</v>
      </c>
      <c r="L421" s="17">
        <v>0.71799999999999997</v>
      </c>
      <c r="M421" s="17">
        <v>24</v>
      </c>
      <c r="N421" s="21">
        <v>666</v>
      </c>
      <c r="O421" s="17">
        <v>20.2</v>
      </c>
      <c r="P421" s="22">
        <v>6.8239999999999998</v>
      </c>
      <c r="Q421" s="23">
        <v>22.74</v>
      </c>
      <c r="R421" s="1">
        <v>8400</v>
      </c>
    </row>
    <row r="422" spans="1:18">
      <c r="A422" s="23">
        <v>15.02</v>
      </c>
      <c r="B422" s="17">
        <f t="shared" si="6"/>
        <v>16700</v>
      </c>
      <c r="C422" s="17">
        <v>16.7</v>
      </c>
      <c r="E422" s="23">
        <v>15.02</v>
      </c>
      <c r="F422" s="22">
        <v>6.4109999999999996</v>
      </c>
      <c r="G422" s="1">
        <v>16700</v>
      </c>
      <c r="I422" s="24">
        <v>3.8</v>
      </c>
      <c r="J422" s="19">
        <v>1</v>
      </c>
      <c r="K422" s="20">
        <v>18.100000000000001</v>
      </c>
      <c r="L422" s="17">
        <v>0.71799999999999997</v>
      </c>
      <c r="M422" s="17">
        <v>24</v>
      </c>
      <c r="N422" s="21">
        <v>666</v>
      </c>
      <c r="O422" s="17">
        <v>20.2</v>
      </c>
      <c r="P422" s="22">
        <v>6.4109999999999996</v>
      </c>
      <c r="Q422" s="23">
        <v>15.02</v>
      </c>
      <c r="R422" s="1">
        <v>16700</v>
      </c>
    </row>
    <row r="423" spans="1:18">
      <c r="A423" s="23">
        <v>15.7</v>
      </c>
      <c r="B423" s="17">
        <f t="shared" si="6"/>
        <v>14200</v>
      </c>
      <c r="C423" s="17">
        <v>14.2</v>
      </c>
      <c r="E423" s="23">
        <v>15.7</v>
      </c>
      <c r="F423" s="22">
        <v>6.0060000000000002</v>
      </c>
      <c r="G423" s="1">
        <v>14200</v>
      </c>
      <c r="I423" s="24">
        <v>0.1</v>
      </c>
      <c r="J423" s="19">
        <v>0.95299999999999996</v>
      </c>
      <c r="K423" s="20">
        <v>18.100000000000001</v>
      </c>
      <c r="L423" s="17">
        <v>0.71799999999999997</v>
      </c>
      <c r="M423" s="17">
        <v>24</v>
      </c>
      <c r="N423" s="21">
        <v>666</v>
      </c>
      <c r="O423" s="17">
        <v>20.2</v>
      </c>
      <c r="P423" s="22">
        <v>6.0060000000000002</v>
      </c>
      <c r="Q423" s="23">
        <v>15.7</v>
      </c>
      <c r="R423" s="1">
        <v>14200</v>
      </c>
    </row>
    <row r="424" spans="1:18">
      <c r="A424" s="23">
        <v>14.1</v>
      </c>
      <c r="B424" s="17">
        <f t="shared" si="6"/>
        <v>20800</v>
      </c>
      <c r="C424" s="17">
        <v>20.8</v>
      </c>
      <c r="E424" s="23">
        <v>14.1</v>
      </c>
      <c r="F424" s="22">
        <v>5.6479999999999997</v>
      </c>
      <c r="G424" s="1">
        <v>20800</v>
      </c>
      <c r="I424" s="24">
        <v>7.09</v>
      </c>
      <c r="J424" s="19">
        <v>0.876</v>
      </c>
      <c r="K424" s="20">
        <v>18.100000000000001</v>
      </c>
      <c r="L424" s="17">
        <v>0.61399999999999999</v>
      </c>
      <c r="M424" s="17">
        <v>24</v>
      </c>
      <c r="N424" s="21">
        <v>666</v>
      </c>
      <c r="O424" s="17">
        <v>20.2</v>
      </c>
      <c r="P424" s="22">
        <v>5.6479999999999997</v>
      </c>
      <c r="Q424" s="23">
        <v>14.1</v>
      </c>
      <c r="R424" s="1">
        <v>20800</v>
      </c>
    </row>
    <row r="425" spans="1:18">
      <c r="A425" s="23">
        <v>23.29</v>
      </c>
      <c r="B425" s="17">
        <f t="shared" si="6"/>
        <v>13400</v>
      </c>
      <c r="C425" s="17">
        <v>13.4</v>
      </c>
      <c r="E425" s="23">
        <v>23.29</v>
      </c>
      <c r="F425" s="22">
        <v>6.1029999999999998</v>
      </c>
      <c r="G425" s="1">
        <v>13400</v>
      </c>
      <c r="I425" s="24">
        <v>2.08</v>
      </c>
      <c r="J425" s="19">
        <v>0.85099999999999998</v>
      </c>
      <c r="K425" s="20">
        <v>18.100000000000001</v>
      </c>
      <c r="L425" s="17">
        <v>0.61399999999999999</v>
      </c>
      <c r="M425" s="17">
        <v>24</v>
      </c>
      <c r="N425" s="21">
        <v>666</v>
      </c>
      <c r="O425" s="17">
        <v>20.2</v>
      </c>
      <c r="P425" s="22">
        <v>6.1029999999999998</v>
      </c>
      <c r="Q425" s="23">
        <v>23.29</v>
      </c>
      <c r="R425" s="1">
        <v>13400</v>
      </c>
    </row>
    <row r="426" spans="1:18">
      <c r="A426" s="23">
        <v>17.16</v>
      </c>
      <c r="B426" s="17">
        <f t="shared" si="6"/>
        <v>11700</v>
      </c>
      <c r="C426" s="17">
        <v>11.7</v>
      </c>
      <c r="E426" s="23">
        <v>17.16</v>
      </c>
      <c r="F426" s="22">
        <v>5.5650000000000004</v>
      </c>
      <c r="G426" s="1">
        <v>11700</v>
      </c>
      <c r="I426" s="24">
        <v>6.32</v>
      </c>
      <c r="J426" s="19">
        <v>0.70599999999999996</v>
      </c>
      <c r="K426" s="20">
        <v>18.100000000000001</v>
      </c>
      <c r="L426" s="17">
        <v>0.58399999999999996</v>
      </c>
      <c r="M426" s="17">
        <v>24</v>
      </c>
      <c r="N426" s="21">
        <v>666</v>
      </c>
      <c r="O426" s="17">
        <v>20.2</v>
      </c>
      <c r="P426" s="22">
        <v>5.5650000000000004</v>
      </c>
      <c r="Q426" s="23">
        <v>17.16</v>
      </c>
      <c r="R426" s="1">
        <v>11700</v>
      </c>
    </row>
    <row r="427" spans="1:18">
      <c r="A427" s="23">
        <v>24.39</v>
      </c>
      <c r="B427" s="17">
        <f t="shared" si="6"/>
        <v>8300</v>
      </c>
      <c r="C427" s="17">
        <v>8.3000000000000007</v>
      </c>
      <c r="E427" s="23">
        <v>24.39</v>
      </c>
      <c r="F427" s="22">
        <v>5.8959999999999999</v>
      </c>
      <c r="G427" s="1">
        <v>8300</v>
      </c>
      <c r="I427" s="24">
        <v>1.71</v>
      </c>
      <c r="J427" s="19">
        <v>0.95400000000000007</v>
      </c>
      <c r="K427" s="20">
        <v>18.100000000000001</v>
      </c>
      <c r="L427" s="17">
        <v>0.67900000000000005</v>
      </c>
      <c r="M427" s="17">
        <v>24</v>
      </c>
      <c r="N427" s="21">
        <v>666</v>
      </c>
      <c r="O427" s="17">
        <v>20.2</v>
      </c>
      <c r="P427" s="22">
        <v>5.8959999999999999</v>
      </c>
      <c r="Q427" s="23">
        <v>24.39</v>
      </c>
      <c r="R427" s="1">
        <v>8300</v>
      </c>
    </row>
    <row r="428" spans="1:18">
      <c r="A428" s="23">
        <v>15.69</v>
      </c>
      <c r="B428" s="17">
        <f t="shared" si="6"/>
        <v>10200</v>
      </c>
      <c r="C428" s="17">
        <v>10.199999999999999</v>
      </c>
      <c r="E428" s="23">
        <v>15.69</v>
      </c>
      <c r="F428" s="22">
        <v>5.8369999999999997</v>
      </c>
      <c r="G428" s="1">
        <v>10200</v>
      </c>
      <c r="I428" s="24">
        <v>4.53</v>
      </c>
      <c r="J428" s="19">
        <v>0.59700000000000009</v>
      </c>
      <c r="K428" s="20">
        <v>18.100000000000001</v>
      </c>
      <c r="L428" s="17">
        <v>0.58399999999999996</v>
      </c>
      <c r="M428" s="17">
        <v>24</v>
      </c>
      <c r="N428" s="21">
        <v>666</v>
      </c>
      <c r="O428" s="17">
        <v>20.2</v>
      </c>
      <c r="P428" s="22">
        <v>5.8369999999999997</v>
      </c>
      <c r="Q428" s="23">
        <v>15.69</v>
      </c>
      <c r="R428" s="1">
        <v>10200</v>
      </c>
    </row>
    <row r="429" spans="1:18">
      <c r="A429" s="23">
        <v>14.52</v>
      </c>
      <c r="B429" s="17">
        <f t="shared" si="6"/>
        <v>10900</v>
      </c>
      <c r="C429" s="17">
        <v>10.9</v>
      </c>
      <c r="E429" s="23">
        <v>14.52</v>
      </c>
      <c r="F429" s="22">
        <v>6.202</v>
      </c>
      <c r="G429" s="1">
        <v>10900</v>
      </c>
      <c r="I429" s="24">
        <v>2.64</v>
      </c>
      <c r="J429" s="19">
        <v>0.78700000000000003</v>
      </c>
      <c r="K429" s="20">
        <v>18.100000000000001</v>
      </c>
      <c r="L429" s="17">
        <v>0.67900000000000005</v>
      </c>
      <c r="M429" s="17">
        <v>24</v>
      </c>
      <c r="N429" s="21">
        <v>666</v>
      </c>
      <c r="O429" s="17">
        <v>20.2</v>
      </c>
      <c r="P429" s="22">
        <v>6.202</v>
      </c>
      <c r="Q429" s="23">
        <v>14.52</v>
      </c>
      <c r="R429" s="1">
        <v>10900</v>
      </c>
    </row>
    <row r="430" spans="1:18">
      <c r="A430" s="23">
        <v>21.52</v>
      </c>
      <c r="B430" s="17">
        <f t="shared" si="6"/>
        <v>11000</v>
      </c>
      <c r="C430" s="17">
        <v>11</v>
      </c>
      <c r="E430" s="23">
        <v>21.52</v>
      </c>
      <c r="F430" s="22">
        <v>6.1929999999999996</v>
      </c>
      <c r="G430" s="1">
        <v>11000</v>
      </c>
      <c r="I430" s="24">
        <v>1.78</v>
      </c>
      <c r="J430" s="19">
        <v>0.78099999999999992</v>
      </c>
      <c r="K430" s="20">
        <v>18.100000000000001</v>
      </c>
      <c r="L430" s="17">
        <v>0.67900000000000005</v>
      </c>
      <c r="M430" s="17">
        <v>24</v>
      </c>
      <c r="N430" s="21">
        <v>666</v>
      </c>
      <c r="O430" s="17">
        <v>20.2</v>
      </c>
      <c r="P430" s="22">
        <v>6.1929999999999996</v>
      </c>
      <c r="Q430" s="23">
        <v>21.52</v>
      </c>
      <c r="R430" s="1">
        <v>11000</v>
      </c>
    </row>
    <row r="431" spans="1:18">
      <c r="A431" s="23">
        <v>24.08</v>
      </c>
      <c r="B431" s="17">
        <f t="shared" si="6"/>
        <v>9500</v>
      </c>
      <c r="C431" s="17">
        <v>9.5</v>
      </c>
      <c r="E431" s="23">
        <v>24.08</v>
      </c>
      <c r="F431" s="22">
        <v>6.38</v>
      </c>
      <c r="G431" s="1">
        <v>9500</v>
      </c>
      <c r="I431" s="24">
        <v>6.23</v>
      </c>
      <c r="J431" s="19">
        <v>0.95599999999999996</v>
      </c>
      <c r="K431" s="20">
        <v>18.100000000000001</v>
      </c>
      <c r="L431" s="17">
        <v>0.67900000000000005</v>
      </c>
      <c r="M431" s="17">
        <v>24</v>
      </c>
      <c r="N431" s="21">
        <v>666</v>
      </c>
      <c r="O431" s="17">
        <v>20.2</v>
      </c>
      <c r="P431" s="22">
        <v>6.38</v>
      </c>
      <c r="Q431" s="23">
        <v>24.08</v>
      </c>
      <c r="R431" s="1">
        <v>9500</v>
      </c>
    </row>
    <row r="432" spans="1:18">
      <c r="A432" s="23">
        <v>17.64</v>
      </c>
      <c r="B432" s="17">
        <f t="shared" si="6"/>
        <v>14500</v>
      </c>
      <c r="C432" s="17">
        <v>14.5</v>
      </c>
      <c r="E432" s="23">
        <v>17.64</v>
      </c>
      <c r="F432" s="22">
        <v>6.3479999999999999</v>
      </c>
      <c r="G432" s="1">
        <v>14500</v>
      </c>
      <c r="I432" s="24">
        <v>5.24</v>
      </c>
      <c r="J432" s="19">
        <v>0.86099999999999999</v>
      </c>
      <c r="K432" s="20">
        <v>18.100000000000001</v>
      </c>
      <c r="L432" s="17">
        <v>0.58399999999999996</v>
      </c>
      <c r="M432" s="17">
        <v>24</v>
      </c>
      <c r="N432" s="21">
        <v>666</v>
      </c>
      <c r="O432" s="17">
        <v>20.2</v>
      </c>
      <c r="P432" s="22">
        <v>6.3479999999999999</v>
      </c>
      <c r="Q432" s="23">
        <v>17.64</v>
      </c>
      <c r="R432" s="1">
        <v>14500</v>
      </c>
    </row>
    <row r="433" spans="1:18">
      <c r="A433" s="23">
        <v>19.690000000000001</v>
      </c>
      <c r="B433" s="17">
        <f t="shared" si="6"/>
        <v>14100</v>
      </c>
      <c r="C433" s="17">
        <v>14.1</v>
      </c>
      <c r="E433" s="23">
        <v>19.690000000000001</v>
      </c>
      <c r="F433" s="22">
        <v>6.8330000000000002</v>
      </c>
      <c r="G433" s="1">
        <v>14100</v>
      </c>
      <c r="I433" s="24">
        <v>6.65</v>
      </c>
      <c r="J433" s="19">
        <v>0.94299999999999995</v>
      </c>
      <c r="K433" s="20">
        <v>18.100000000000001</v>
      </c>
      <c r="L433" s="17">
        <v>0.58399999999999996</v>
      </c>
      <c r="M433" s="17">
        <v>24</v>
      </c>
      <c r="N433" s="21">
        <v>666</v>
      </c>
      <c r="O433" s="17">
        <v>20.2</v>
      </c>
      <c r="P433" s="22">
        <v>6.8330000000000002</v>
      </c>
      <c r="Q433" s="23">
        <v>19.690000000000001</v>
      </c>
      <c r="R433" s="1">
        <v>14100</v>
      </c>
    </row>
    <row r="434" spans="1:18">
      <c r="A434" s="23">
        <v>12.03</v>
      </c>
      <c r="B434" s="17">
        <f t="shared" si="6"/>
        <v>16100.000000000002</v>
      </c>
      <c r="C434" s="17">
        <v>16.100000000000001</v>
      </c>
      <c r="E434" s="23">
        <v>12.03</v>
      </c>
      <c r="F434" s="22">
        <v>6.4249999999999998</v>
      </c>
      <c r="G434" s="1">
        <v>16100.000000000002</v>
      </c>
      <c r="I434" s="24">
        <v>4.09</v>
      </c>
      <c r="J434" s="19">
        <v>0.748</v>
      </c>
      <c r="K434" s="20">
        <v>18.100000000000001</v>
      </c>
      <c r="L434" s="17">
        <v>0.58399999999999996</v>
      </c>
      <c r="M434" s="17">
        <v>24</v>
      </c>
      <c r="N434" s="21">
        <v>666</v>
      </c>
      <c r="O434" s="17">
        <v>20.2</v>
      </c>
      <c r="P434" s="22">
        <v>6.4249999999999998</v>
      </c>
      <c r="Q434" s="23">
        <v>12.03</v>
      </c>
      <c r="R434" s="1">
        <v>16100.000000000002</v>
      </c>
    </row>
    <row r="435" spans="1:18">
      <c r="A435" s="23">
        <v>16.22</v>
      </c>
      <c r="B435" s="17">
        <f t="shared" si="6"/>
        <v>14300</v>
      </c>
      <c r="C435" s="17">
        <v>14.3</v>
      </c>
      <c r="E435" s="23">
        <v>16.22</v>
      </c>
      <c r="F435" s="22">
        <v>6.4359999999999999</v>
      </c>
      <c r="G435" s="1">
        <v>14300</v>
      </c>
      <c r="I435" s="24">
        <v>2.19</v>
      </c>
      <c r="J435" s="19">
        <v>0.87900000000000011</v>
      </c>
      <c r="K435" s="20">
        <v>18.100000000000001</v>
      </c>
      <c r="L435" s="17">
        <v>0.71299999999999997</v>
      </c>
      <c r="M435" s="17">
        <v>24</v>
      </c>
      <c r="N435" s="21">
        <v>666</v>
      </c>
      <c r="O435" s="17">
        <v>20.2</v>
      </c>
      <c r="P435" s="22">
        <v>6.4359999999999999</v>
      </c>
      <c r="Q435" s="23">
        <v>16.22</v>
      </c>
      <c r="R435" s="1">
        <v>14300</v>
      </c>
    </row>
    <row r="436" spans="1:18">
      <c r="A436" s="23">
        <v>15.17</v>
      </c>
      <c r="B436" s="17">
        <f t="shared" si="6"/>
        <v>11700</v>
      </c>
      <c r="C436" s="17">
        <v>11.7</v>
      </c>
      <c r="E436" s="23">
        <v>15.17</v>
      </c>
      <c r="F436" s="22">
        <v>6.2080000000000002</v>
      </c>
      <c r="G436" s="1">
        <v>11700</v>
      </c>
      <c r="I436" s="24">
        <v>3.14</v>
      </c>
      <c r="J436" s="19">
        <v>0.95000000000000007</v>
      </c>
      <c r="K436" s="20">
        <v>18.100000000000001</v>
      </c>
      <c r="L436" s="17">
        <v>0.71299999999999997</v>
      </c>
      <c r="M436" s="17">
        <v>24</v>
      </c>
      <c r="N436" s="21">
        <v>666</v>
      </c>
      <c r="O436" s="17">
        <v>20.2</v>
      </c>
      <c r="P436" s="22">
        <v>6.2080000000000002</v>
      </c>
      <c r="Q436" s="23">
        <v>15.17</v>
      </c>
      <c r="R436" s="1">
        <v>11700</v>
      </c>
    </row>
    <row r="437" spans="1:18">
      <c r="A437" s="23">
        <v>23.27</v>
      </c>
      <c r="B437" s="17">
        <f t="shared" si="6"/>
        <v>13400</v>
      </c>
      <c r="C437" s="17">
        <v>13.4</v>
      </c>
      <c r="E437" s="23">
        <v>23.27</v>
      </c>
      <c r="F437" s="22">
        <v>6.6289999999999996</v>
      </c>
      <c r="G437" s="1">
        <v>13400</v>
      </c>
      <c r="I437" s="24">
        <v>0.75</v>
      </c>
      <c r="J437" s="19">
        <v>0.94599999999999995</v>
      </c>
      <c r="K437" s="20">
        <v>18.100000000000001</v>
      </c>
      <c r="L437" s="17">
        <v>0.74</v>
      </c>
      <c r="M437" s="17">
        <v>24</v>
      </c>
      <c r="N437" s="21">
        <v>666</v>
      </c>
      <c r="O437" s="17">
        <v>20.2</v>
      </c>
      <c r="P437" s="22">
        <v>6.6289999999999996</v>
      </c>
      <c r="Q437" s="23">
        <v>23.27</v>
      </c>
      <c r="R437" s="1">
        <v>13400</v>
      </c>
    </row>
    <row r="438" spans="1:18">
      <c r="A438" s="23">
        <v>18.05</v>
      </c>
      <c r="B438" s="17">
        <f t="shared" si="6"/>
        <v>9600</v>
      </c>
      <c r="C438" s="17">
        <v>9.6</v>
      </c>
      <c r="E438" s="23">
        <v>18.05</v>
      </c>
      <c r="F438" s="22">
        <v>6.4610000000000003</v>
      </c>
      <c r="G438" s="1">
        <v>9600</v>
      </c>
      <c r="I438" s="24">
        <v>9.76</v>
      </c>
      <c r="J438" s="19">
        <v>0.93299999999999994</v>
      </c>
      <c r="K438" s="20">
        <v>18.100000000000001</v>
      </c>
      <c r="L438" s="17">
        <v>0.74</v>
      </c>
      <c r="M438" s="17">
        <v>24</v>
      </c>
      <c r="N438" s="21">
        <v>666</v>
      </c>
      <c r="O438" s="17">
        <v>20.2</v>
      </c>
      <c r="P438" s="22">
        <v>6.4610000000000003</v>
      </c>
      <c r="Q438" s="23">
        <v>18.05</v>
      </c>
      <c r="R438" s="1">
        <v>9600</v>
      </c>
    </row>
    <row r="439" spans="1:18">
      <c r="A439" s="23">
        <v>26.45</v>
      </c>
      <c r="B439" s="17">
        <f t="shared" si="6"/>
        <v>8700</v>
      </c>
      <c r="C439" s="17">
        <v>8.6999999999999993</v>
      </c>
      <c r="E439" s="23">
        <v>26.45</v>
      </c>
      <c r="F439" s="22">
        <v>6.1520000000000001</v>
      </c>
      <c r="G439" s="1">
        <v>8700</v>
      </c>
      <c r="I439" s="24">
        <v>5.53</v>
      </c>
      <c r="J439" s="19">
        <v>1</v>
      </c>
      <c r="K439" s="20">
        <v>18.100000000000001</v>
      </c>
      <c r="L439" s="17">
        <v>0.74</v>
      </c>
      <c r="M439" s="17">
        <v>24</v>
      </c>
      <c r="N439" s="21">
        <v>666</v>
      </c>
      <c r="O439" s="17">
        <v>20.2</v>
      </c>
      <c r="P439" s="22">
        <v>6.1520000000000001</v>
      </c>
      <c r="Q439" s="23">
        <v>26.45</v>
      </c>
      <c r="R439" s="1">
        <v>8700</v>
      </c>
    </row>
    <row r="440" spans="1:18">
      <c r="A440" s="23">
        <v>34.020000000000003</v>
      </c>
      <c r="B440" s="17">
        <f t="shared" si="6"/>
        <v>8400</v>
      </c>
      <c r="C440" s="17">
        <v>8.4</v>
      </c>
      <c r="E440" s="23">
        <v>34.020000000000003</v>
      </c>
      <c r="F440" s="22">
        <v>5.9349999999999996</v>
      </c>
      <c r="G440" s="1">
        <v>8400</v>
      </c>
      <c r="I440" s="24">
        <v>7.63</v>
      </c>
      <c r="J440" s="19">
        <v>0.87900000000000011</v>
      </c>
      <c r="K440" s="20">
        <v>18.100000000000001</v>
      </c>
      <c r="L440" s="17">
        <v>0.74</v>
      </c>
      <c r="M440" s="17">
        <v>24</v>
      </c>
      <c r="N440" s="21">
        <v>666</v>
      </c>
      <c r="O440" s="17">
        <v>20.2</v>
      </c>
      <c r="P440" s="22">
        <v>5.9349999999999996</v>
      </c>
      <c r="Q440" s="23">
        <v>34.020000000000003</v>
      </c>
      <c r="R440" s="1">
        <v>8400</v>
      </c>
    </row>
    <row r="441" spans="1:18">
      <c r="A441" s="23">
        <v>22.88</v>
      </c>
      <c r="B441" s="17">
        <f t="shared" si="6"/>
        <v>12800</v>
      </c>
      <c r="C441" s="17">
        <v>12.8</v>
      </c>
      <c r="E441" s="23">
        <v>22.88</v>
      </c>
      <c r="F441" s="22">
        <v>5.6269999999999998</v>
      </c>
      <c r="G441" s="1">
        <v>12800</v>
      </c>
      <c r="I441" s="24">
        <v>4.0199999999999996</v>
      </c>
      <c r="J441" s="19">
        <v>0.93900000000000006</v>
      </c>
      <c r="K441" s="20">
        <v>18.100000000000001</v>
      </c>
      <c r="L441" s="17">
        <v>0.74</v>
      </c>
      <c r="M441" s="17">
        <v>24</v>
      </c>
      <c r="N441" s="21">
        <v>666</v>
      </c>
      <c r="O441" s="17">
        <v>20.2</v>
      </c>
      <c r="P441" s="22">
        <v>5.6269999999999998</v>
      </c>
      <c r="Q441" s="23">
        <v>22.88</v>
      </c>
      <c r="R441" s="1">
        <v>12800</v>
      </c>
    </row>
    <row r="442" spans="1:18">
      <c r="A442" s="23">
        <v>22.11</v>
      </c>
      <c r="B442" s="17">
        <f t="shared" si="6"/>
        <v>10500</v>
      </c>
      <c r="C442" s="17">
        <v>10.5</v>
      </c>
      <c r="E442" s="23">
        <v>22.11</v>
      </c>
      <c r="F442" s="22">
        <v>5.8179999999999996</v>
      </c>
      <c r="G442" s="1">
        <v>10500</v>
      </c>
      <c r="I442" s="24">
        <v>6.58</v>
      </c>
      <c r="J442" s="19">
        <v>0.92400000000000004</v>
      </c>
      <c r="K442" s="20">
        <v>18.100000000000001</v>
      </c>
      <c r="L442" s="17">
        <v>0.74</v>
      </c>
      <c r="M442" s="17">
        <v>24</v>
      </c>
      <c r="N442" s="21">
        <v>666</v>
      </c>
      <c r="O442" s="17">
        <v>20.2</v>
      </c>
      <c r="P442" s="22">
        <v>5.8179999999999996</v>
      </c>
      <c r="Q442" s="23">
        <v>22.11</v>
      </c>
      <c r="R442" s="1">
        <v>10500</v>
      </c>
    </row>
    <row r="443" spans="1:18">
      <c r="A443" s="23">
        <v>19.52</v>
      </c>
      <c r="B443" s="17">
        <f t="shared" si="6"/>
        <v>17100</v>
      </c>
      <c r="C443" s="17">
        <v>17.100000000000001</v>
      </c>
      <c r="E443" s="23">
        <v>19.52</v>
      </c>
      <c r="F443" s="22">
        <v>6.4059999999999997</v>
      </c>
      <c r="G443" s="1">
        <v>17100</v>
      </c>
      <c r="I443" s="24">
        <v>5.66</v>
      </c>
      <c r="J443" s="19">
        <v>0.97200000000000009</v>
      </c>
      <c r="K443" s="20">
        <v>18.100000000000001</v>
      </c>
      <c r="L443" s="17">
        <v>0.74</v>
      </c>
      <c r="M443" s="17">
        <v>24</v>
      </c>
      <c r="N443" s="21">
        <v>666</v>
      </c>
      <c r="O443" s="17">
        <v>20.2</v>
      </c>
      <c r="P443" s="22">
        <v>6.4059999999999997</v>
      </c>
      <c r="Q443" s="23">
        <v>19.52</v>
      </c>
      <c r="R443" s="1">
        <v>17100</v>
      </c>
    </row>
    <row r="444" spans="1:18">
      <c r="A444" s="23">
        <v>16.59</v>
      </c>
      <c r="B444" s="17">
        <f t="shared" si="6"/>
        <v>18400</v>
      </c>
      <c r="C444" s="17">
        <v>18.399999999999999</v>
      </c>
      <c r="E444" s="23">
        <v>16.59</v>
      </c>
      <c r="F444" s="22">
        <v>6.2190000000000003</v>
      </c>
      <c r="G444" s="1">
        <v>18400</v>
      </c>
      <c r="I444" s="24">
        <v>2.64</v>
      </c>
      <c r="J444" s="19">
        <v>1</v>
      </c>
      <c r="K444" s="20">
        <v>18.100000000000001</v>
      </c>
      <c r="L444" s="17">
        <v>0.74</v>
      </c>
      <c r="M444" s="17">
        <v>24</v>
      </c>
      <c r="N444" s="21">
        <v>666</v>
      </c>
      <c r="O444" s="17">
        <v>20.2</v>
      </c>
      <c r="P444" s="22">
        <v>6.2190000000000003</v>
      </c>
      <c r="Q444" s="23">
        <v>16.59</v>
      </c>
      <c r="R444" s="1">
        <v>18400</v>
      </c>
    </row>
    <row r="445" spans="1:18">
      <c r="A445" s="23">
        <v>18.850000000000001</v>
      </c>
      <c r="B445" s="17">
        <f t="shared" si="6"/>
        <v>15400</v>
      </c>
      <c r="C445" s="17">
        <v>15.4</v>
      </c>
      <c r="E445" s="23">
        <v>18.850000000000001</v>
      </c>
      <c r="F445" s="22">
        <v>6.4850000000000003</v>
      </c>
      <c r="G445" s="1">
        <v>15400</v>
      </c>
      <c r="I445" s="24">
        <v>3.26</v>
      </c>
      <c r="J445" s="19">
        <v>1</v>
      </c>
      <c r="K445" s="20">
        <v>18.100000000000001</v>
      </c>
      <c r="L445" s="17">
        <v>0.74</v>
      </c>
      <c r="M445" s="17">
        <v>24</v>
      </c>
      <c r="N445" s="21">
        <v>666</v>
      </c>
      <c r="O445" s="17">
        <v>20.2</v>
      </c>
      <c r="P445" s="22">
        <v>6.4850000000000003</v>
      </c>
      <c r="Q445" s="23">
        <v>18.850000000000001</v>
      </c>
      <c r="R445" s="1">
        <v>15400</v>
      </c>
    </row>
    <row r="446" spans="1:18">
      <c r="A446" s="23">
        <v>23.79</v>
      </c>
      <c r="B446" s="17">
        <f t="shared" si="6"/>
        <v>10800</v>
      </c>
      <c r="C446" s="17">
        <v>10.8</v>
      </c>
      <c r="E446" s="23">
        <v>23.79</v>
      </c>
      <c r="F446" s="22">
        <v>5.8540000000000001</v>
      </c>
      <c r="G446" s="1">
        <v>10800</v>
      </c>
      <c r="I446" s="24">
        <v>8.93</v>
      </c>
      <c r="J446" s="19">
        <v>0.96599999999999997</v>
      </c>
      <c r="K446" s="20">
        <v>18.100000000000001</v>
      </c>
      <c r="L446" s="17">
        <v>0.74</v>
      </c>
      <c r="M446" s="17">
        <v>24</v>
      </c>
      <c r="N446" s="21">
        <v>666</v>
      </c>
      <c r="O446" s="17">
        <v>20.2</v>
      </c>
      <c r="P446" s="22">
        <v>5.8540000000000001</v>
      </c>
      <c r="Q446" s="23">
        <v>23.79</v>
      </c>
      <c r="R446" s="1">
        <v>10800</v>
      </c>
    </row>
    <row r="447" spans="1:18">
      <c r="A447" s="23">
        <v>23.98</v>
      </c>
      <c r="B447" s="17">
        <f t="shared" si="6"/>
        <v>11800</v>
      </c>
      <c r="C447" s="17">
        <v>11.8</v>
      </c>
      <c r="E447" s="23">
        <v>23.98</v>
      </c>
      <c r="F447" s="22">
        <v>6.4589999999999996</v>
      </c>
      <c r="G447" s="1">
        <v>11800</v>
      </c>
      <c r="I447" s="24">
        <v>7.0000000000000007E-2</v>
      </c>
      <c r="J447" s="19">
        <v>0.94799999999999995</v>
      </c>
      <c r="K447" s="20">
        <v>18.100000000000001</v>
      </c>
      <c r="L447" s="17">
        <v>0.74</v>
      </c>
      <c r="M447" s="17">
        <v>24</v>
      </c>
      <c r="N447" s="21">
        <v>666</v>
      </c>
      <c r="O447" s="17">
        <v>20.2</v>
      </c>
      <c r="P447" s="22">
        <v>6.4589999999999996</v>
      </c>
      <c r="Q447" s="23">
        <v>23.98</v>
      </c>
      <c r="R447" s="1">
        <v>11800</v>
      </c>
    </row>
    <row r="448" spans="1:18">
      <c r="A448" s="23">
        <v>17.79</v>
      </c>
      <c r="B448" s="17">
        <f t="shared" si="6"/>
        <v>14900</v>
      </c>
      <c r="C448" s="17">
        <v>14.9</v>
      </c>
      <c r="E448" s="23">
        <v>17.79</v>
      </c>
      <c r="F448" s="22">
        <v>6.3410000000000002</v>
      </c>
      <c r="G448" s="1">
        <v>14900</v>
      </c>
      <c r="I448" s="24">
        <v>9.5399999999999991</v>
      </c>
      <c r="J448" s="19">
        <v>0.96400000000000008</v>
      </c>
      <c r="K448" s="20">
        <v>18.100000000000001</v>
      </c>
      <c r="L448" s="17">
        <v>0.74</v>
      </c>
      <c r="M448" s="17">
        <v>24</v>
      </c>
      <c r="N448" s="21">
        <v>666</v>
      </c>
      <c r="O448" s="17">
        <v>20.2</v>
      </c>
      <c r="P448" s="22">
        <v>6.3410000000000002</v>
      </c>
      <c r="Q448" s="23">
        <v>17.79</v>
      </c>
      <c r="R448" s="1">
        <v>14900</v>
      </c>
    </row>
    <row r="449" spans="1:18">
      <c r="A449" s="23">
        <v>16.440000000000001</v>
      </c>
      <c r="B449" s="17">
        <f t="shared" si="6"/>
        <v>12600</v>
      </c>
      <c r="C449" s="17">
        <v>12.6</v>
      </c>
      <c r="E449" s="23">
        <v>16.440000000000001</v>
      </c>
      <c r="F449" s="22">
        <v>6.2510000000000003</v>
      </c>
      <c r="G449" s="1">
        <v>12600</v>
      </c>
      <c r="I449" s="24">
        <v>6.36</v>
      </c>
      <c r="J449" s="19">
        <v>0.96599999999999997</v>
      </c>
      <c r="K449" s="20">
        <v>18.100000000000001</v>
      </c>
      <c r="L449" s="17">
        <v>0.74</v>
      </c>
      <c r="M449" s="17">
        <v>24</v>
      </c>
      <c r="N449" s="21">
        <v>666</v>
      </c>
      <c r="O449" s="17">
        <v>20.2</v>
      </c>
      <c r="P449" s="22">
        <v>6.2510000000000003</v>
      </c>
      <c r="Q449" s="23">
        <v>16.440000000000001</v>
      </c>
      <c r="R449" s="1">
        <v>12600</v>
      </c>
    </row>
    <row r="450" spans="1:18">
      <c r="A450" s="23">
        <v>18.13</v>
      </c>
      <c r="B450" s="17">
        <f t="shared" si="6"/>
        <v>14100</v>
      </c>
      <c r="C450" s="17">
        <v>14.1</v>
      </c>
      <c r="E450" s="23">
        <v>18.13</v>
      </c>
      <c r="F450" s="22">
        <v>6.1849999999999996</v>
      </c>
      <c r="G450" s="1">
        <v>14100</v>
      </c>
      <c r="I450" s="24">
        <v>7.8</v>
      </c>
      <c r="J450" s="19">
        <v>0.9870000000000001</v>
      </c>
      <c r="K450" s="20">
        <v>18.100000000000001</v>
      </c>
      <c r="L450" s="17">
        <v>0.71299999999999997</v>
      </c>
      <c r="M450" s="17">
        <v>24</v>
      </c>
      <c r="N450" s="21">
        <v>666</v>
      </c>
      <c r="O450" s="17">
        <v>20.2</v>
      </c>
      <c r="P450" s="22">
        <v>6.1849999999999996</v>
      </c>
      <c r="Q450" s="23">
        <v>18.13</v>
      </c>
      <c r="R450" s="1">
        <v>14100</v>
      </c>
    </row>
    <row r="451" spans="1:18">
      <c r="A451" s="23">
        <v>19.309999999999999</v>
      </c>
      <c r="B451" s="17">
        <f t="shared" ref="B451:B507" si="7">C451*1000</f>
        <v>13000</v>
      </c>
      <c r="C451" s="17">
        <v>13</v>
      </c>
      <c r="E451" s="23">
        <v>19.309999999999999</v>
      </c>
      <c r="F451" s="22">
        <v>6.4169999999999998</v>
      </c>
      <c r="G451" s="1">
        <v>13000</v>
      </c>
      <c r="I451" s="24">
        <v>3.67</v>
      </c>
      <c r="J451" s="19">
        <v>0.98299999999999998</v>
      </c>
      <c r="K451" s="20">
        <v>18.100000000000001</v>
      </c>
      <c r="L451" s="17">
        <v>0.71299999999999997</v>
      </c>
      <c r="M451" s="17">
        <v>24</v>
      </c>
      <c r="N451" s="21">
        <v>666</v>
      </c>
      <c r="O451" s="17">
        <v>20.2</v>
      </c>
      <c r="P451" s="22">
        <v>6.4169999999999998</v>
      </c>
      <c r="Q451" s="23">
        <v>19.309999999999999</v>
      </c>
      <c r="R451" s="1">
        <v>13000</v>
      </c>
    </row>
    <row r="452" spans="1:18">
      <c r="A452" s="23">
        <v>17.440000000000001</v>
      </c>
      <c r="B452" s="17">
        <f t="shared" si="7"/>
        <v>13400</v>
      </c>
      <c r="C452" s="17">
        <v>13.4</v>
      </c>
      <c r="E452" s="23">
        <v>17.440000000000001</v>
      </c>
      <c r="F452" s="22">
        <v>6.7489999999999997</v>
      </c>
      <c r="G452" s="1">
        <v>13400</v>
      </c>
      <c r="I452" s="24">
        <v>0.75</v>
      </c>
      <c r="J452" s="19">
        <v>0.92599999999999993</v>
      </c>
      <c r="K452" s="20">
        <v>18.100000000000001</v>
      </c>
      <c r="L452" s="17">
        <v>0.71299999999999997</v>
      </c>
      <c r="M452" s="17">
        <v>24</v>
      </c>
      <c r="N452" s="21">
        <v>666</v>
      </c>
      <c r="O452" s="17">
        <v>20.2</v>
      </c>
      <c r="P452" s="22">
        <v>6.7489999999999997</v>
      </c>
      <c r="Q452" s="23">
        <v>17.440000000000001</v>
      </c>
      <c r="R452" s="1">
        <v>13400</v>
      </c>
    </row>
    <row r="453" spans="1:18">
      <c r="A453" s="23">
        <v>17.73</v>
      </c>
      <c r="B453" s="17">
        <f t="shared" si="7"/>
        <v>15200</v>
      </c>
      <c r="C453" s="17">
        <v>15.2</v>
      </c>
      <c r="E453" s="23">
        <v>17.73</v>
      </c>
      <c r="F453" s="22">
        <v>6.6550000000000002</v>
      </c>
      <c r="G453" s="1">
        <v>15200</v>
      </c>
      <c r="I453" s="24">
        <v>7.52</v>
      </c>
      <c r="J453" s="19">
        <v>0.9820000000000001</v>
      </c>
      <c r="K453" s="20">
        <v>18.100000000000001</v>
      </c>
      <c r="L453" s="17">
        <v>0.71299999999999997</v>
      </c>
      <c r="M453" s="17">
        <v>24</v>
      </c>
      <c r="N453" s="21">
        <v>666</v>
      </c>
      <c r="O453" s="17">
        <v>20.2</v>
      </c>
      <c r="P453" s="22">
        <v>6.6550000000000002</v>
      </c>
      <c r="Q453" s="23">
        <v>17.73</v>
      </c>
      <c r="R453" s="1">
        <v>15200</v>
      </c>
    </row>
    <row r="454" spans="1:18">
      <c r="A454" s="23">
        <v>17.27</v>
      </c>
      <c r="B454" s="17">
        <f t="shared" si="7"/>
        <v>16100.000000000002</v>
      </c>
      <c r="C454" s="17">
        <v>16.100000000000001</v>
      </c>
      <c r="E454" s="23">
        <v>17.27</v>
      </c>
      <c r="F454" s="22">
        <v>6.2969999999999997</v>
      </c>
      <c r="G454" s="1">
        <v>16100.000000000002</v>
      </c>
      <c r="I454" s="24">
        <v>9.14</v>
      </c>
      <c r="J454" s="19">
        <v>0.91800000000000004</v>
      </c>
      <c r="K454" s="20">
        <v>18.100000000000001</v>
      </c>
      <c r="L454" s="17">
        <v>0.71299999999999997</v>
      </c>
      <c r="M454" s="17">
        <v>24</v>
      </c>
      <c r="N454" s="21">
        <v>666</v>
      </c>
      <c r="O454" s="17">
        <v>20.2</v>
      </c>
      <c r="P454" s="22">
        <v>6.2969999999999997</v>
      </c>
      <c r="Q454" s="23">
        <v>17.27</v>
      </c>
      <c r="R454" s="1">
        <v>16100.000000000002</v>
      </c>
    </row>
    <row r="455" spans="1:18">
      <c r="A455" s="23">
        <v>16.739999999999998</v>
      </c>
      <c r="B455" s="17">
        <f t="shared" si="7"/>
        <v>17800</v>
      </c>
      <c r="C455" s="17">
        <v>17.8</v>
      </c>
      <c r="E455" s="23">
        <v>16.739999999999998</v>
      </c>
      <c r="F455" s="22">
        <v>7.3929999999999998</v>
      </c>
      <c r="G455" s="1">
        <v>17800</v>
      </c>
      <c r="I455" s="24">
        <v>4.82</v>
      </c>
      <c r="J455" s="19">
        <v>0.99299999999999999</v>
      </c>
      <c r="K455" s="20">
        <v>18.100000000000001</v>
      </c>
      <c r="L455" s="17">
        <v>0.71299999999999997</v>
      </c>
      <c r="M455" s="17">
        <v>24</v>
      </c>
      <c r="N455" s="21">
        <v>666</v>
      </c>
      <c r="O455" s="17">
        <v>20.2</v>
      </c>
      <c r="P455" s="22">
        <v>7.3929999999999998</v>
      </c>
      <c r="Q455" s="23">
        <v>16.739999999999998</v>
      </c>
      <c r="R455" s="1">
        <v>17800</v>
      </c>
    </row>
    <row r="456" spans="1:18">
      <c r="A456" s="23">
        <v>18.71</v>
      </c>
      <c r="B456" s="17">
        <f t="shared" si="7"/>
        <v>14900</v>
      </c>
      <c r="C456" s="17">
        <v>14.9</v>
      </c>
      <c r="E456" s="23">
        <v>18.71</v>
      </c>
      <c r="F456" s="22">
        <v>6.7279999999999998</v>
      </c>
      <c r="G456" s="1">
        <v>14900</v>
      </c>
      <c r="I456" s="24">
        <v>3.43</v>
      </c>
      <c r="J456" s="19">
        <v>0.94099999999999995</v>
      </c>
      <c r="K456" s="20">
        <v>18.100000000000001</v>
      </c>
      <c r="L456" s="17">
        <v>0.71299999999999997</v>
      </c>
      <c r="M456" s="17">
        <v>24</v>
      </c>
      <c r="N456" s="21">
        <v>666</v>
      </c>
      <c r="O456" s="17">
        <v>20.2</v>
      </c>
      <c r="P456" s="22">
        <v>6.7279999999999998</v>
      </c>
      <c r="Q456" s="23">
        <v>18.71</v>
      </c>
      <c r="R456" s="1">
        <v>14900</v>
      </c>
    </row>
    <row r="457" spans="1:18">
      <c r="A457" s="23">
        <v>18.13</v>
      </c>
      <c r="B457" s="17">
        <f t="shared" si="7"/>
        <v>14100</v>
      </c>
      <c r="C457" s="17">
        <v>14.1</v>
      </c>
      <c r="E457" s="23">
        <v>18.13</v>
      </c>
      <c r="F457" s="22">
        <v>6.5250000000000004</v>
      </c>
      <c r="G457" s="1">
        <v>14100</v>
      </c>
      <c r="I457" s="24">
        <v>8.41</v>
      </c>
      <c r="J457" s="19">
        <v>0.86499999999999999</v>
      </c>
      <c r="K457" s="20">
        <v>18.100000000000001</v>
      </c>
      <c r="L457" s="17">
        <v>0.71299999999999997</v>
      </c>
      <c r="M457" s="17">
        <v>24</v>
      </c>
      <c r="N457" s="21">
        <v>666</v>
      </c>
      <c r="O457" s="17">
        <v>20.2</v>
      </c>
      <c r="P457" s="22">
        <v>6.5250000000000004</v>
      </c>
      <c r="Q457" s="23">
        <v>18.13</v>
      </c>
      <c r="R457" s="1">
        <v>14100</v>
      </c>
    </row>
    <row r="458" spans="1:18">
      <c r="A458" s="23">
        <v>19.010000000000002</v>
      </c>
      <c r="B458" s="17">
        <f t="shared" si="7"/>
        <v>12700</v>
      </c>
      <c r="C458" s="17">
        <v>12.7</v>
      </c>
      <c r="E458" s="23">
        <v>19.010000000000002</v>
      </c>
      <c r="F458" s="22">
        <v>5.976</v>
      </c>
      <c r="G458" s="1">
        <v>12700</v>
      </c>
      <c r="I458" s="24">
        <v>8.74</v>
      </c>
      <c r="J458" s="19">
        <v>0.87900000000000011</v>
      </c>
      <c r="K458" s="20">
        <v>18.100000000000001</v>
      </c>
      <c r="L458" s="17">
        <v>0.71299999999999997</v>
      </c>
      <c r="M458" s="17">
        <v>24</v>
      </c>
      <c r="N458" s="21">
        <v>666</v>
      </c>
      <c r="O458" s="17">
        <v>20.2</v>
      </c>
      <c r="P458" s="22">
        <v>5.976</v>
      </c>
      <c r="Q458" s="23">
        <v>19.010000000000002</v>
      </c>
      <c r="R458" s="1">
        <v>12700</v>
      </c>
    </row>
    <row r="459" spans="1:18">
      <c r="A459" s="23">
        <v>16.940000000000001</v>
      </c>
      <c r="B459" s="17">
        <f t="shared" si="7"/>
        <v>13500</v>
      </c>
      <c r="C459" s="17">
        <v>13.5</v>
      </c>
      <c r="E459" s="23">
        <v>16.940000000000001</v>
      </c>
      <c r="F459" s="22">
        <v>5.9359999999999999</v>
      </c>
      <c r="G459" s="1">
        <v>13500</v>
      </c>
      <c r="I459" s="24">
        <v>0.71</v>
      </c>
      <c r="J459" s="19">
        <v>0.80299999999999994</v>
      </c>
      <c r="K459" s="20">
        <v>18.100000000000001</v>
      </c>
      <c r="L459" s="17">
        <v>0.71299999999999997</v>
      </c>
      <c r="M459" s="17">
        <v>24</v>
      </c>
      <c r="N459" s="21">
        <v>666</v>
      </c>
      <c r="O459" s="17">
        <v>20.2</v>
      </c>
      <c r="P459" s="22">
        <v>5.9359999999999999</v>
      </c>
      <c r="Q459" s="23">
        <v>16.940000000000001</v>
      </c>
      <c r="R459" s="1">
        <v>13500</v>
      </c>
    </row>
    <row r="460" spans="1:18">
      <c r="A460" s="23">
        <v>16.23</v>
      </c>
      <c r="B460" s="17">
        <f t="shared" si="7"/>
        <v>14900</v>
      </c>
      <c r="C460" s="17">
        <v>14.9</v>
      </c>
      <c r="E460" s="23">
        <v>16.23</v>
      </c>
      <c r="F460" s="22">
        <v>6.3010000000000002</v>
      </c>
      <c r="G460" s="1">
        <v>14900</v>
      </c>
      <c r="I460" s="24">
        <v>2.99</v>
      </c>
      <c r="J460" s="19">
        <v>0.83700000000000008</v>
      </c>
      <c r="K460" s="20">
        <v>18.100000000000001</v>
      </c>
      <c r="L460" s="17">
        <v>0.71299999999999997</v>
      </c>
      <c r="M460" s="17">
        <v>24</v>
      </c>
      <c r="N460" s="21">
        <v>666</v>
      </c>
      <c r="O460" s="17">
        <v>20.2</v>
      </c>
      <c r="P460" s="22">
        <v>6.3010000000000002</v>
      </c>
      <c r="Q460" s="23">
        <v>16.23</v>
      </c>
      <c r="R460" s="1">
        <v>14900</v>
      </c>
    </row>
    <row r="461" spans="1:18">
      <c r="A461" s="23">
        <v>14.7</v>
      </c>
      <c r="B461" s="17">
        <f t="shared" si="7"/>
        <v>20000</v>
      </c>
      <c r="C461" s="17">
        <v>20</v>
      </c>
      <c r="E461" s="23">
        <v>14.7</v>
      </c>
      <c r="F461" s="22">
        <v>6.0810000000000004</v>
      </c>
      <c r="G461" s="1">
        <v>20000</v>
      </c>
      <c r="I461" s="24">
        <v>7.81</v>
      </c>
      <c r="J461" s="19">
        <v>0.84400000000000008</v>
      </c>
      <c r="K461" s="20">
        <v>18.100000000000001</v>
      </c>
      <c r="L461" s="17">
        <v>0.71299999999999997</v>
      </c>
      <c r="M461" s="17">
        <v>24</v>
      </c>
      <c r="N461" s="21">
        <v>666</v>
      </c>
      <c r="O461" s="17">
        <v>20.2</v>
      </c>
      <c r="P461" s="22">
        <v>6.0810000000000004</v>
      </c>
      <c r="Q461" s="23">
        <v>14.7</v>
      </c>
      <c r="R461" s="1">
        <v>20000</v>
      </c>
    </row>
    <row r="462" spans="1:18">
      <c r="A462" s="23">
        <v>16.420000000000002</v>
      </c>
      <c r="B462" s="17">
        <f t="shared" si="7"/>
        <v>16400</v>
      </c>
      <c r="C462" s="17">
        <v>16.399999999999999</v>
      </c>
      <c r="E462" s="23">
        <v>16.420000000000002</v>
      </c>
      <c r="F462" s="22">
        <v>6.7009999999999996</v>
      </c>
      <c r="G462" s="1">
        <v>16400</v>
      </c>
      <c r="I462" s="24">
        <v>1.36</v>
      </c>
      <c r="J462" s="19">
        <v>0.9</v>
      </c>
      <c r="K462" s="20">
        <v>18.100000000000001</v>
      </c>
      <c r="L462" s="17">
        <v>0.71299999999999997</v>
      </c>
      <c r="M462" s="17">
        <v>24</v>
      </c>
      <c r="N462" s="21">
        <v>666</v>
      </c>
      <c r="O462" s="17">
        <v>20.2</v>
      </c>
      <c r="P462" s="22">
        <v>6.7009999999999996</v>
      </c>
      <c r="Q462" s="23">
        <v>16.420000000000002</v>
      </c>
      <c r="R462" s="1">
        <v>16400</v>
      </c>
    </row>
    <row r="463" spans="1:18">
      <c r="A463" s="23">
        <v>14.65</v>
      </c>
      <c r="B463" s="17">
        <f t="shared" si="7"/>
        <v>17700</v>
      </c>
      <c r="C463" s="17">
        <v>17.7</v>
      </c>
      <c r="E463" s="23">
        <v>14.65</v>
      </c>
      <c r="F463" s="22">
        <v>6.3760000000000003</v>
      </c>
      <c r="G463" s="1">
        <v>17700</v>
      </c>
      <c r="I463" s="24">
        <v>6.46</v>
      </c>
      <c r="J463" s="19">
        <v>0.88400000000000012</v>
      </c>
      <c r="K463" s="20">
        <v>18.100000000000001</v>
      </c>
      <c r="L463" s="17">
        <v>0.71299999999999997</v>
      </c>
      <c r="M463" s="17">
        <v>24</v>
      </c>
      <c r="N463" s="21">
        <v>666</v>
      </c>
      <c r="O463" s="17">
        <v>20.2</v>
      </c>
      <c r="P463" s="22">
        <v>6.3760000000000003</v>
      </c>
      <c r="Q463" s="23">
        <v>14.65</v>
      </c>
      <c r="R463" s="1">
        <v>17700</v>
      </c>
    </row>
    <row r="464" spans="1:18">
      <c r="A464" s="23">
        <v>13.99</v>
      </c>
      <c r="B464" s="17">
        <f t="shared" si="7"/>
        <v>19500</v>
      </c>
      <c r="C464" s="17">
        <v>19.5</v>
      </c>
      <c r="E464" s="23">
        <v>13.99</v>
      </c>
      <c r="F464" s="22">
        <v>6.3170000000000002</v>
      </c>
      <c r="G464" s="1">
        <v>19500</v>
      </c>
      <c r="I464" s="24">
        <v>3.43</v>
      </c>
      <c r="J464" s="19">
        <v>0.83000000000000007</v>
      </c>
      <c r="K464" s="20">
        <v>18.100000000000001</v>
      </c>
      <c r="L464" s="17">
        <v>0.71299999999999997</v>
      </c>
      <c r="M464" s="17">
        <v>24</v>
      </c>
      <c r="N464" s="21">
        <v>666</v>
      </c>
      <c r="O464" s="17">
        <v>20.2</v>
      </c>
      <c r="P464" s="22">
        <v>6.3170000000000002</v>
      </c>
      <c r="Q464" s="23">
        <v>13.99</v>
      </c>
      <c r="R464" s="1">
        <v>19500</v>
      </c>
    </row>
    <row r="465" spans="1:18">
      <c r="A465" s="23">
        <v>10.29</v>
      </c>
      <c r="B465" s="17">
        <f t="shared" si="7"/>
        <v>20200</v>
      </c>
      <c r="C465" s="17">
        <v>20.2</v>
      </c>
      <c r="E465" s="23">
        <v>10.29</v>
      </c>
      <c r="F465" s="22">
        <v>6.5129999999999999</v>
      </c>
      <c r="G465" s="1">
        <v>20200</v>
      </c>
      <c r="I465" s="24">
        <v>3.5</v>
      </c>
      <c r="J465" s="19">
        <v>0.89900000000000002</v>
      </c>
      <c r="K465" s="20">
        <v>18.100000000000001</v>
      </c>
      <c r="L465" s="17">
        <v>0.71299999999999997</v>
      </c>
      <c r="M465" s="17">
        <v>24</v>
      </c>
      <c r="N465" s="21">
        <v>666</v>
      </c>
      <c r="O465" s="17">
        <v>20.2</v>
      </c>
      <c r="P465" s="22">
        <v>6.5129999999999999</v>
      </c>
      <c r="Q465" s="23">
        <v>10.29</v>
      </c>
      <c r="R465" s="1">
        <v>20200</v>
      </c>
    </row>
    <row r="466" spans="1:18">
      <c r="A466" s="23">
        <v>13.22</v>
      </c>
      <c r="B466" s="17">
        <f t="shared" si="7"/>
        <v>21400</v>
      </c>
      <c r="C466" s="17">
        <v>21.4</v>
      </c>
      <c r="E466" s="23">
        <v>13.22</v>
      </c>
      <c r="F466" s="22">
        <v>6.2089999999999996</v>
      </c>
      <c r="G466" s="1">
        <v>21400</v>
      </c>
      <c r="I466" s="24">
        <v>3.22</v>
      </c>
      <c r="J466" s="19">
        <v>0.65400000000000003</v>
      </c>
      <c r="K466" s="20">
        <v>18.100000000000001</v>
      </c>
      <c r="L466" s="17">
        <v>0.65500000000000003</v>
      </c>
      <c r="M466" s="17">
        <v>24</v>
      </c>
      <c r="N466" s="21">
        <v>666</v>
      </c>
      <c r="O466" s="17">
        <v>20.2</v>
      </c>
      <c r="P466" s="22">
        <v>6.2089999999999996</v>
      </c>
      <c r="Q466" s="23">
        <v>13.22</v>
      </c>
      <c r="R466" s="1">
        <v>21400</v>
      </c>
    </row>
    <row r="467" spans="1:18">
      <c r="A467" s="23">
        <v>14.13</v>
      </c>
      <c r="B467" s="17">
        <f t="shared" si="7"/>
        <v>19900</v>
      </c>
      <c r="C467" s="17">
        <v>19.899999999999999</v>
      </c>
      <c r="E467" s="23">
        <v>14.13</v>
      </c>
      <c r="F467" s="22">
        <v>5.7590000000000003</v>
      </c>
      <c r="G467" s="1">
        <v>19900</v>
      </c>
      <c r="I467" s="24">
        <v>6.65</v>
      </c>
      <c r="J467" s="19">
        <v>0.48200000000000004</v>
      </c>
      <c r="K467" s="20">
        <v>18.100000000000001</v>
      </c>
      <c r="L467" s="17">
        <v>0.65500000000000003</v>
      </c>
      <c r="M467" s="17">
        <v>24</v>
      </c>
      <c r="N467" s="21">
        <v>666</v>
      </c>
      <c r="O467" s="17">
        <v>20.2</v>
      </c>
      <c r="P467" s="22">
        <v>5.7590000000000003</v>
      </c>
      <c r="Q467" s="23">
        <v>14.13</v>
      </c>
      <c r="R467" s="1">
        <v>19900</v>
      </c>
    </row>
    <row r="468" spans="1:18">
      <c r="A468" s="23">
        <v>17.149999999999999</v>
      </c>
      <c r="B468" s="17">
        <f t="shared" si="7"/>
        <v>19000</v>
      </c>
      <c r="C468" s="17">
        <v>19</v>
      </c>
      <c r="E468" s="23">
        <v>17.149999999999999</v>
      </c>
      <c r="F468" s="22">
        <v>5.952</v>
      </c>
      <c r="G468" s="1">
        <v>19000</v>
      </c>
      <c r="I468" s="24">
        <v>9.25</v>
      </c>
      <c r="J468" s="19">
        <v>0.84700000000000009</v>
      </c>
      <c r="K468" s="20">
        <v>18.100000000000001</v>
      </c>
      <c r="L468" s="17">
        <v>0.65500000000000003</v>
      </c>
      <c r="M468" s="17">
        <v>24</v>
      </c>
      <c r="N468" s="21">
        <v>666</v>
      </c>
      <c r="O468" s="17">
        <v>20.2</v>
      </c>
      <c r="P468" s="22">
        <v>5.952</v>
      </c>
      <c r="Q468" s="23">
        <v>17.149999999999999</v>
      </c>
      <c r="R468" s="1">
        <v>19000</v>
      </c>
    </row>
    <row r="469" spans="1:18">
      <c r="A469" s="23">
        <v>21.32</v>
      </c>
      <c r="B469" s="17">
        <f t="shared" si="7"/>
        <v>19100</v>
      </c>
      <c r="C469" s="17">
        <v>19.100000000000001</v>
      </c>
      <c r="E469" s="23">
        <v>21.32</v>
      </c>
      <c r="F469" s="22">
        <v>6.0030000000000001</v>
      </c>
      <c r="G469" s="1">
        <v>19100</v>
      </c>
      <c r="I469" s="24">
        <v>8.9600000000000009</v>
      </c>
      <c r="J469" s="19">
        <v>0.94500000000000006</v>
      </c>
      <c r="K469" s="20">
        <v>18.100000000000001</v>
      </c>
      <c r="L469" s="17">
        <v>0.58399999999999996</v>
      </c>
      <c r="M469" s="17">
        <v>24</v>
      </c>
      <c r="N469" s="21">
        <v>666</v>
      </c>
      <c r="O469" s="17">
        <v>20.2</v>
      </c>
      <c r="P469" s="22">
        <v>6.0030000000000001</v>
      </c>
      <c r="Q469" s="23">
        <v>21.32</v>
      </c>
      <c r="R469" s="1">
        <v>19100</v>
      </c>
    </row>
    <row r="470" spans="1:18">
      <c r="A470" s="23">
        <v>18.13</v>
      </c>
      <c r="B470" s="17">
        <f t="shared" si="7"/>
        <v>19100</v>
      </c>
      <c r="C470" s="17">
        <v>19.100000000000001</v>
      </c>
      <c r="E470" s="23">
        <v>18.13</v>
      </c>
      <c r="F470" s="22">
        <v>5.9260000000000002</v>
      </c>
      <c r="G470" s="1">
        <v>19100</v>
      </c>
      <c r="I470" s="24">
        <v>7.56</v>
      </c>
      <c r="J470" s="19">
        <v>0.71</v>
      </c>
      <c r="K470" s="20">
        <v>18.100000000000001</v>
      </c>
      <c r="L470" s="17">
        <v>0.57999999999999996</v>
      </c>
      <c r="M470" s="17">
        <v>24</v>
      </c>
      <c r="N470" s="21">
        <v>666</v>
      </c>
      <c r="O470" s="17">
        <v>20.2</v>
      </c>
      <c r="P470" s="22">
        <v>5.9260000000000002</v>
      </c>
      <c r="Q470" s="23">
        <v>18.13</v>
      </c>
      <c r="R470" s="1">
        <v>19100</v>
      </c>
    </row>
    <row r="471" spans="1:18">
      <c r="A471" s="23">
        <v>14.76</v>
      </c>
      <c r="B471" s="17">
        <f t="shared" si="7"/>
        <v>20100</v>
      </c>
      <c r="C471" s="17">
        <v>20.100000000000001</v>
      </c>
      <c r="E471" s="23">
        <v>14.76</v>
      </c>
      <c r="F471" s="22">
        <v>5.7130000000000001</v>
      </c>
      <c r="G471" s="1">
        <v>20100</v>
      </c>
      <c r="I471" s="24">
        <v>4.9800000000000004</v>
      </c>
      <c r="J471" s="19">
        <v>0.56700000000000006</v>
      </c>
      <c r="K471" s="20">
        <v>18.100000000000001</v>
      </c>
      <c r="L471" s="17">
        <v>0.57999999999999996</v>
      </c>
      <c r="M471" s="17">
        <v>24</v>
      </c>
      <c r="N471" s="21">
        <v>666</v>
      </c>
      <c r="O471" s="17">
        <v>20.2</v>
      </c>
      <c r="P471" s="22">
        <v>5.7130000000000001</v>
      </c>
      <c r="Q471" s="23">
        <v>14.76</v>
      </c>
      <c r="R471" s="1">
        <v>20100</v>
      </c>
    </row>
    <row r="472" spans="1:18">
      <c r="A472" s="23">
        <v>16.29</v>
      </c>
      <c r="B472" s="17">
        <f t="shared" si="7"/>
        <v>19900</v>
      </c>
      <c r="C472" s="17">
        <v>19.899999999999999</v>
      </c>
      <c r="E472" s="23">
        <v>16.29</v>
      </c>
      <c r="F472" s="22">
        <v>6.1669999999999998</v>
      </c>
      <c r="G472" s="1">
        <v>19900</v>
      </c>
      <c r="I472" s="24">
        <v>8.5299999999999994</v>
      </c>
      <c r="J472" s="19">
        <v>0.84</v>
      </c>
      <c r="K472" s="20">
        <v>18.100000000000001</v>
      </c>
      <c r="L472" s="17">
        <v>0.57999999999999996</v>
      </c>
      <c r="M472" s="17">
        <v>24</v>
      </c>
      <c r="N472" s="21">
        <v>666</v>
      </c>
      <c r="O472" s="17">
        <v>20.2</v>
      </c>
      <c r="P472" s="22">
        <v>6.1669999999999998</v>
      </c>
      <c r="Q472" s="23">
        <v>16.29</v>
      </c>
      <c r="R472" s="1">
        <v>19900</v>
      </c>
    </row>
    <row r="473" spans="1:18">
      <c r="A473" s="23">
        <v>12.87</v>
      </c>
      <c r="B473" s="17">
        <f t="shared" si="7"/>
        <v>19600</v>
      </c>
      <c r="C473" s="17">
        <v>19.600000000000001</v>
      </c>
      <c r="E473" s="23">
        <v>12.87</v>
      </c>
      <c r="F473" s="22">
        <v>6.2290000000000001</v>
      </c>
      <c r="G473" s="1">
        <v>19600</v>
      </c>
      <c r="I473" s="24">
        <v>5.61</v>
      </c>
      <c r="J473" s="19">
        <v>0.90700000000000003</v>
      </c>
      <c r="K473" s="20">
        <v>18.100000000000001</v>
      </c>
      <c r="L473" s="17">
        <v>0.53200000000000003</v>
      </c>
      <c r="M473" s="17">
        <v>24</v>
      </c>
      <c r="N473" s="21">
        <v>666</v>
      </c>
      <c r="O473" s="17">
        <v>20.2</v>
      </c>
      <c r="P473" s="22">
        <v>6.2290000000000001</v>
      </c>
      <c r="Q473" s="23">
        <v>12.87</v>
      </c>
      <c r="R473" s="1">
        <v>19600</v>
      </c>
    </row>
    <row r="474" spans="1:18">
      <c r="A474" s="23">
        <v>14.36</v>
      </c>
      <c r="B474" s="17">
        <f t="shared" si="7"/>
        <v>23200</v>
      </c>
      <c r="C474" s="17">
        <v>23.2</v>
      </c>
      <c r="E474" s="23">
        <v>14.36</v>
      </c>
      <c r="F474" s="22">
        <v>6.4370000000000003</v>
      </c>
      <c r="G474" s="1">
        <v>23200</v>
      </c>
      <c r="I474" s="24">
        <v>1.05</v>
      </c>
      <c r="J474" s="19">
        <v>0.75</v>
      </c>
      <c r="K474" s="20">
        <v>18.100000000000001</v>
      </c>
      <c r="L474" s="17">
        <v>0.57999999999999996</v>
      </c>
      <c r="M474" s="17">
        <v>24</v>
      </c>
      <c r="N474" s="21">
        <v>666</v>
      </c>
      <c r="O474" s="17">
        <v>20.2</v>
      </c>
      <c r="P474" s="22">
        <v>6.4370000000000003</v>
      </c>
      <c r="Q474" s="23">
        <v>14.36</v>
      </c>
      <c r="R474" s="1">
        <v>23200</v>
      </c>
    </row>
    <row r="475" spans="1:18">
      <c r="A475" s="23">
        <v>11.66</v>
      </c>
      <c r="B475" s="17">
        <f t="shared" si="7"/>
        <v>29800</v>
      </c>
      <c r="C475" s="17">
        <v>29.8</v>
      </c>
      <c r="E475" s="23">
        <v>11.66</v>
      </c>
      <c r="F475" s="22">
        <v>6.98</v>
      </c>
      <c r="G475" s="1">
        <v>29800</v>
      </c>
      <c r="I475" s="24">
        <v>2</v>
      </c>
      <c r="J475" s="19">
        <v>0.67599999999999993</v>
      </c>
      <c r="K475" s="20">
        <v>18.100000000000001</v>
      </c>
      <c r="L475" s="17">
        <v>0.61399999999999999</v>
      </c>
      <c r="M475" s="17">
        <v>24</v>
      </c>
      <c r="N475" s="21">
        <v>666</v>
      </c>
      <c r="O475" s="17">
        <v>20.2</v>
      </c>
      <c r="P475" s="22">
        <v>6.98</v>
      </c>
      <c r="Q475" s="23">
        <v>11.66</v>
      </c>
      <c r="R475" s="1">
        <v>29800</v>
      </c>
    </row>
    <row r="476" spans="1:18">
      <c r="A476" s="23">
        <v>18.14</v>
      </c>
      <c r="B476" s="17">
        <f t="shared" si="7"/>
        <v>13800</v>
      </c>
      <c r="C476" s="17">
        <v>13.8</v>
      </c>
      <c r="E476" s="23">
        <v>18.14</v>
      </c>
      <c r="F476" s="22">
        <v>5.4269999999999996</v>
      </c>
      <c r="G476" s="1">
        <v>13800</v>
      </c>
      <c r="I476" s="24">
        <v>6.14</v>
      </c>
      <c r="J476" s="19">
        <v>0.95400000000000007</v>
      </c>
      <c r="K476" s="20">
        <v>18.100000000000001</v>
      </c>
      <c r="L476" s="17">
        <v>0.58399999999999996</v>
      </c>
      <c r="M476" s="17">
        <v>24</v>
      </c>
      <c r="N476" s="21">
        <v>666</v>
      </c>
      <c r="O476" s="17">
        <v>20.2</v>
      </c>
      <c r="P476" s="22">
        <v>5.4269999999999996</v>
      </c>
      <c r="Q476" s="23">
        <v>18.14</v>
      </c>
      <c r="R476" s="1">
        <v>13800</v>
      </c>
    </row>
    <row r="477" spans="1:18">
      <c r="A477" s="23">
        <v>24.1</v>
      </c>
      <c r="B477" s="17">
        <f t="shared" si="7"/>
        <v>13300</v>
      </c>
      <c r="C477" s="17">
        <v>13.3</v>
      </c>
      <c r="E477" s="23">
        <v>24.1</v>
      </c>
      <c r="F477" s="22">
        <v>6.1619999999999999</v>
      </c>
      <c r="G477" s="1">
        <v>13300</v>
      </c>
      <c r="I477" s="24">
        <v>1.05</v>
      </c>
      <c r="J477" s="19">
        <v>0.97400000000000009</v>
      </c>
      <c r="K477" s="20">
        <v>18.100000000000001</v>
      </c>
      <c r="L477" s="17">
        <v>0.58399999999999996</v>
      </c>
      <c r="M477" s="17">
        <v>24</v>
      </c>
      <c r="N477" s="21">
        <v>666</v>
      </c>
      <c r="O477" s="17">
        <v>20.2</v>
      </c>
      <c r="P477" s="22">
        <v>6.1619999999999999</v>
      </c>
      <c r="Q477" s="23">
        <v>24.1</v>
      </c>
      <c r="R477" s="1">
        <v>13300</v>
      </c>
    </row>
    <row r="478" spans="1:18">
      <c r="A478" s="23">
        <v>18.68</v>
      </c>
      <c r="B478" s="17">
        <f t="shared" si="7"/>
        <v>16700</v>
      </c>
      <c r="C478" s="17">
        <v>16.7</v>
      </c>
      <c r="E478" s="23">
        <v>18.68</v>
      </c>
      <c r="F478" s="22">
        <v>6.484</v>
      </c>
      <c r="G478" s="1">
        <v>16700</v>
      </c>
      <c r="I478" s="24">
        <v>2.87</v>
      </c>
      <c r="J478" s="19">
        <v>0.93599999999999994</v>
      </c>
      <c r="K478" s="20">
        <v>18.100000000000001</v>
      </c>
      <c r="L478" s="17">
        <v>0.61399999999999999</v>
      </c>
      <c r="M478" s="17">
        <v>24</v>
      </c>
      <c r="N478" s="21">
        <v>666</v>
      </c>
      <c r="O478" s="17">
        <v>20.2</v>
      </c>
      <c r="P478" s="22">
        <v>6.484</v>
      </c>
      <c r="Q478" s="23">
        <v>18.68</v>
      </c>
      <c r="R478" s="1">
        <v>16700</v>
      </c>
    </row>
    <row r="479" spans="1:18">
      <c r="A479" s="23">
        <v>24.91</v>
      </c>
      <c r="B479" s="17">
        <f t="shared" si="7"/>
        <v>12000</v>
      </c>
      <c r="C479" s="17">
        <v>12</v>
      </c>
      <c r="E479" s="23">
        <v>24.91</v>
      </c>
      <c r="F479" s="22">
        <v>5.3040000000000003</v>
      </c>
      <c r="G479" s="1">
        <v>12000</v>
      </c>
      <c r="I479" s="24">
        <v>1.42</v>
      </c>
      <c r="J479" s="19">
        <v>0.97299999999999998</v>
      </c>
      <c r="K479" s="20">
        <v>18.100000000000001</v>
      </c>
      <c r="L479" s="17">
        <v>0.61399999999999999</v>
      </c>
      <c r="M479" s="17">
        <v>24</v>
      </c>
      <c r="N479" s="21">
        <v>666</v>
      </c>
      <c r="O479" s="17">
        <v>20.2</v>
      </c>
      <c r="P479" s="22">
        <v>5.3040000000000003</v>
      </c>
      <c r="Q479" s="23">
        <v>24.91</v>
      </c>
      <c r="R479" s="1">
        <v>12000</v>
      </c>
    </row>
    <row r="480" spans="1:18">
      <c r="A480" s="23">
        <v>18.03</v>
      </c>
      <c r="B480" s="17">
        <f t="shared" si="7"/>
        <v>14600</v>
      </c>
      <c r="C480" s="17">
        <v>14.6</v>
      </c>
      <c r="E480" s="23">
        <v>18.03</v>
      </c>
      <c r="F480" s="22">
        <v>6.1849999999999996</v>
      </c>
      <c r="G480" s="1">
        <v>14600</v>
      </c>
      <c r="I480" s="24">
        <v>3.43</v>
      </c>
      <c r="J480" s="19">
        <v>0.96700000000000008</v>
      </c>
      <c r="K480" s="20">
        <v>18.100000000000001</v>
      </c>
      <c r="L480" s="17">
        <v>0.61399999999999999</v>
      </c>
      <c r="M480" s="17">
        <v>24</v>
      </c>
      <c r="N480" s="21">
        <v>666</v>
      </c>
      <c r="O480" s="17">
        <v>20.2</v>
      </c>
      <c r="P480" s="22">
        <v>6.1849999999999996</v>
      </c>
      <c r="Q480" s="23">
        <v>18.03</v>
      </c>
      <c r="R480" s="1">
        <v>14600</v>
      </c>
    </row>
    <row r="481" spans="1:18">
      <c r="A481" s="23">
        <v>13.11</v>
      </c>
      <c r="B481" s="17">
        <f t="shared" si="7"/>
        <v>21400</v>
      </c>
      <c r="C481" s="17">
        <v>21.4</v>
      </c>
      <c r="E481" s="23">
        <v>13.11</v>
      </c>
      <c r="F481" s="22">
        <v>6.2290000000000001</v>
      </c>
      <c r="G481" s="1">
        <v>21400</v>
      </c>
      <c r="I481" s="24">
        <v>6.57</v>
      </c>
      <c r="J481" s="19">
        <v>0.88</v>
      </c>
      <c r="K481" s="20">
        <v>18.100000000000001</v>
      </c>
      <c r="L481" s="17">
        <v>0.61399999999999999</v>
      </c>
      <c r="M481" s="17">
        <v>24</v>
      </c>
      <c r="N481" s="21">
        <v>666</v>
      </c>
      <c r="O481" s="17">
        <v>20.2</v>
      </c>
      <c r="P481" s="22">
        <v>6.2290000000000001</v>
      </c>
      <c r="Q481" s="23">
        <v>13.11</v>
      </c>
      <c r="R481" s="1">
        <v>21400</v>
      </c>
    </row>
    <row r="482" spans="1:18">
      <c r="A482" s="23">
        <v>10.74</v>
      </c>
      <c r="B482" s="17">
        <f t="shared" si="7"/>
        <v>23000</v>
      </c>
      <c r="C482" s="17">
        <v>23</v>
      </c>
      <c r="E482" s="23">
        <v>10.74</v>
      </c>
      <c r="F482" s="22">
        <v>6.242</v>
      </c>
      <c r="G482" s="1">
        <v>23000</v>
      </c>
      <c r="I482" s="24">
        <v>1.18</v>
      </c>
      <c r="J482" s="19">
        <v>0.64700000000000002</v>
      </c>
      <c r="K482" s="20">
        <v>18.100000000000001</v>
      </c>
      <c r="L482" s="17">
        <v>0.53200000000000003</v>
      </c>
      <c r="M482" s="17">
        <v>24</v>
      </c>
      <c r="N482" s="21">
        <v>666</v>
      </c>
      <c r="O482" s="17">
        <v>20.2</v>
      </c>
      <c r="P482" s="22">
        <v>6.242</v>
      </c>
      <c r="Q482" s="23">
        <v>10.74</v>
      </c>
      <c r="R482" s="1">
        <v>23000</v>
      </c>
    </row>
    <row r="483" spans="1:18">
      <c r="A483" s="23">
        <v>7.74</v>
      </c>
      <c r="B483" s="17">
        <f t="shared" si="7"/>
        <v>23700</v>
      </c>
      <c r="C483" s="17">
        <v>23.7</v>
      </c>
      <c r="E483" s="23">
        <v>7.74</v>
      </c>
      <c r="F483" s="22">
        <v>6.75</v>
      </c>
      <c r="G483" s="1">
        <v>23700</v>
      </c>
      <c r="I483" s="24">
        <v>4.82</v>
      </c>
      <c r="J483" s="19">
        <v>0.74900000000000011</v>
      </c>
      <c r="K483" s="20">
        <v>18.100000000000001</v>
      </c>
      <c r="L483" s="17">
        <v>0.53200000000000003</v>
      </c>
      <c r="M483" s="17">
        <v>24</v>
      </c>
      <c r="N483" s="21">
        <v>666</v>
      </c>
      <c r="O483" s="17">
        <v>20.2</v>
      </c>
      <c r="P483" s="22">
        <v>6.75</v>
      </c>
      <c r="Q483" s="23">
        <v>7.74</v>
      </c>
      <c r="R483" s="1">
        <v>23700</v>
      </c>
    </row>
    <row r="484" spans="1:18">
      <c r="A484" s="23">
        <v>7.01</v>
      </c>
      <c r="B484" s="17">
        <f t="shared" si="7"/>
        <v>25000</v>
      </c>
      <c r="C484" s="17">
        <v>25</v>
      </c>
      <c r="E484" s="23">
        <v>7.01</v>
      </c>
      <c r="F484" s="22">
        <v>7.0609999999999999</v>
      </c>
      <c r="G484" s="1">
        <v>25000</v>
      </c>
      <c r="I484" s="24">
        <v>2.66</v>
      </c>
      <c r="J484" s="19">
        <v>0.77</v>
      </c>
      <c r="K484" s="20">
        <v>18.100000000000001</v>
      </c>
      <c r="L484" s="17">
        <v>0.53200000000000003</v>
      </c>
      <c r="M484" s="17">
        <v>24</v>
      </c>
      <c r="N484" s="21">
        <v>666</v>
      </c>
      <c r="O484" s="17">
        <v>20.2</v>
      </c>
      <c r="P484" s="22">
        <v>7.0609999999999999</v>
      </c>
      <c r="Q484" s="23">
        <v>7.01</v>
      </c>
      <c r="R484" s="1">
        <v>25000</v>
      </c>
    </row>
    <row r="485" spans="1:18">
      <c r="A485" s="23">
        <v>10.42</v>
      </c>
      <c r="B485" s="17">
        <f t="shared" si="7"/>
        <v>21800</v>
      </c>
      <c r="C485" s="17">
        <v>21.8</v>
      </c>
      <c r="E485" s="23">
        <v>10.42</v>
      </c>
      <c r="F485" s="22">
        <v>5.7619999999999996</v>
      </c>
      <c r="G485" s="1">
        <v>21800</v>
      </c>
      <c r="I485" s="24">
        <v>3.65</v>
      </c>
      <c r="J485" s="19">
        <v>0.40299999999999997</v>
      </c>
      <c r="K485" s="20">
        <v>18.100000000000001</v>
      </c>
      <c r="L485" s="17">
        <v>0.53200000000000003</v>
      </c>
      <c r="M485" s="17">
        <v>24</v>
      </c>
      <c r="N485" s="21">
        <v>666</v>
      </c>
      <c r="O485" s="17">
        <v>20.2</v>
      </c>
      <c r="P485" s="22">
        <v>5.7619999999999996</v>
      </c>
      <c r="Q485" s="23">
        <v>10.42</v>
      </c>
      <c r="R485" s="1">
        <v>21800</v>
      </c>
    </row>
    <row r="486" spans="1:18">
      <c r="A486" s="23">
        <v>13.34</v>
      </c>
      <c r="B486" s="17">
        <f t="shared" si="7"/>
        <v>20600</v>
      </c>
      <c r="C486" s="17">
        <v>20.6</v>
      </c>
      <c r="E486" s="23">
        <v>13.34</v>
      </c>
      <c r="F486" s="22">
        <v>5.8710000000000004</v>
      </c>
      <c r="G486" s="1">
        <v>20600</v>
      </c>
      <c r="I486" s="24">
        <v>9.11</v>
      </c>
      <c r="J486" s="19">
        <v>0.41899999999999998</v>
      </c>
      <c r="K486" s="20">
        <v>18.100000000000001</v>
      </c>
      <c r="L486" s="17">
        <v>0.58299999999999996</v>
      </c>
      <c r="M486" s="17">
        <v>24</v>
      </c>
      <c r="N486" s="21">
        <v>666</v>
      </c>
      <c r="O486" s="17">
        <v>20.2</v>
      </c>
      <c r="P486" s="22">
        <v>5.8710000000000004</v>
      </c>
      <c r="Q486" s="23">
        <v>13.34</v>
      </c>
      <c r="R486" s="1">
        <v>20600</v>
      </c>
    </row>
    <row r="487" spans="1:18">
      <c r="A487" s="23">
        <v>10.58</v>
      </c>
      <c r="B487" s="17">
        <f t="shared" si="7"/>
        <v>21200</v>
      </c>
      <c r="C487" s="17">
        <v>21.2</v>
      </c>
      <c r="E487" s="23">
        <v>10.58</v>
      </c>
      <c r="F487" s="22">
        <v>6.3120000000000003</v>
      </c>
      <c r="G487" s="1">
        <v>21200</v>
      </c>
      <c r="I487" s="24">
        <v>7.26</v>
      </c>
      <c r="J487" s="19">
        <v>0.51900000000000002</v>
      </c>
      <c r="K487" s="20">
        <v>18.100000000000001</v>
      </c>
      <c r="L487" s="17">
        <v>0.58299999999999996</v>
      </c>
      <c r="M487" s="17">
        <v>24</v>
      </c>
      <c r="N487" s="21">
        <v>666</v>
      </c>
      <c r="O487" s="17">
        <v>20.2</v>
      </c>
      <c r="P487" s="22">
        <v>6.3120000000000003</v>
      </c>
      <c r="Q487" s="23">
        <v>10.58</v>
      </c>
      <c r="R487" s="1">
        <v>21200</v>
      </c>
    </row>
    <row r="488" spans="1:18">
      <c r="A488" s="23">
        <v>14.98</v>
      </c>
      <c r="B488" s="17">
        <f t="shared" si="7"/>
        <v>19100</v>
      </c>
      <c r="C488" s="17">
        <v>19.100000000000001</v>
      </c>
      <c r="E488" s="23">
        <v>14.98</v>
      </c>
      <c r="F488" s="22">
        <v>6.1139999999999999</v>
      </c>
      <c r="G488" s="1">
        <v>19100</v>
      </c>
      <c r="I488" s="24">
        <v>5.14</v>
      </c>
      <c r="J488" s="19">
        <v>0.79800000000000004</v>
      </c>
      <c r="K488" s="20">
        <v>18.100000000000001</v>
      </c>
      <c r="L488" s="17">
        <v>0.58299999999999996</v>
      </c>
      <c r="M488" s="17">
        <v>24</v>
      </c>
      <c r="N488" s="21">
        <v>666</v>
      </c>
      <c r="O488" s="17">
        <v>20.2</v>
      </c>
      <c r="P488" s="22">
        <v>6.1139999999999999</v>
      </c>
      <c r="Q488" s="23">
        <v>14.98</v>
      </c>
      <c r="R488" s="1">
        <v>19100</v>
      </c>
    </row>
    <row r="489" spans="1:18">
      <c r="A489" s="23">
        <v>11.45</v>
      </c>
      <c r="B489" s="17">
        <f t="shared" si="7"/>
        <v>20600</v>
      </c>
      <c r="C489" s="17">
        <v>20.6</v>
      </c>
      <c r="E489" s="23">
        <v>11.45</v>
      </c>
      <c r="F489" s="22">
        <v>5.9050000000000002</v>
      </c>
      <c r="G489" s="1">
        <v>20600</v>
      </c>
      <c r="I489" s="24">
        <v>4.1399999999999997</v>
      </c>
      <c r="J489" s="19">
        <v>0.53200000000000003</v>
      </c>
      <c r="K489" s="20">
        <v>18.100000000000001</v>
      </c>
      <c r="L489" s="17">
        <v>0.58299999999999996</v>
      </c>
      <c r="M489" s="17">
        <v>24</v>
      </c>
      <c r="N489" s="21">
        <v>666</v>
      </c>
      <c r="O489" s="17">
        <v>20.2</v>
      </c>
      <c r="P489" s="22">
        <v>5.9050000000000002</v>
      </c>
      <c r="Q489" s="23">
        <v>11.45</v>
      </c>
      <c r="R489" s="1">
        <v>20600</v>
      </c>
    </row>
    <row r="490" spans="1:18">
      <c r="A490" s="23">
        <v>18.059999999999999</v>
      </c>
      <c r="B490" s="17">
        <f t="shared" si="7"/>
        <v>15200</v>
      </c>
      <c r="C490" s="17">
        <v>15.2</v>
      </c>
      <c r="E490" s="23">
        <v>18.059999999999999</v>
      </c>
      <c r="F490" s="22">
        <v>5.4539999999999997</v>
      </c>
      <c r="G490" s="1">
        <v>15200</v>
      </c>
      <c r="I490" s="24">
        <v>0.2</v>
      </c>
      <c r="J490" s="19">
        <v>0.92700000000000005</v>
      </c>
      <c r="K490" s="20">
        <v>27.74</v>
      </c>
      <c r="L490" s="17">
        <v>0.60899999999999999</v>
      </c>
      <c r="M490" s="17">
        <v>4</v>
      </c>
      <c r="N490" s="21">
        <v>711</v>
      </c>
      <c r="O490" s="17">
        <v>20.100000000000001</v>
      </c>
      <c r="P490" s="22">
        <v>5.4539999999999997</v>
      </c>
      <c r="Q490" s="23">
        <v>18.059999999999999</v>
      </c>
      <c r="R490" s="1">
        <v>15200</v>
      </c>
    </row>
    <row r="491" spans="1:18">
      <c r="A491" s="23">
        <v>23.97</v>
      </c>
      <c r="B491" s="17">
        <f t="shared" si="7"/>
        <v>7000</v>
      </c>
      <c r="C491" s="17">
        <v>7</v>
      </c>
      <c r="E491" s="23">
        <v>23.97</v>
      </c>
      <c r="F491" s="22">
        <v>5.4139999999999997</v>
      </c>
      <c r="G491" s="1">
        <v>7000</v>
      </c>
      <c r="I491" s="24">
        <v>9.02</v>
      </c>
      <c r="J491" s="19">
        <v>0.98299999999999998</v>
      </c>
      <c r="K491" s="20">
        <v>27.74</v>
      </c>
      <c r="L491" s="17">
        <v>0.60899999999999999</v>
      </c>
      <c r="M491" s="17">
        <v>4</v>
      </c>
      <c r="N491" s="21">
        <v>711</v>
      </c>
      <c r="O491" s="17">
        <v>20.100000000000001</v>
      </c>
      <c r="P491" s="22">
        <v>5.4139999999999997</v>
      </c>
      <c r="Q491" s="23">
        <v>23.97</v>
      </c>
      <c r="R491" s="1">
        <v>7000</v>
      </c>
    </row>
    <row r="492" spans="1:18">
      <c r="A492" s="23">
        <v>29.68</v>
      </c>
      <c r="B492" s="17">
        <f t="shared" si="7"/>
        <v>8100</v>
      </c>
      <c r="C492" s="17">
        <v>8.1</v>
      </c>
      <c r="E492" s="23">
        <v>29.68</v>
      </c>
      <c r="F492" s="22">
        <v>5.093</v>
      </c>
      <c r="G492" s="1">
        <v>8100</v>
      </c>
      <c r="I492" s="24">
        <v>5.98</v>
      </c>
      <c r="J492" s="19">
        <v>0.98</v>
      </c>
      <c r="K492" s="20">
        <v>27.74</v>
      </c>
      <c r="L492" s="17">
        <v>0.60899999999999999</v>
      </c>
      <c r="M492" s="17">
        <v>4</v>
      </c>
      <c r="N492" s="21">
        <v>711</v>
      </c>
      <c r="O492" s="17">
        <v>20.100000000000001</v>
      </c>
      <c r="P492" s="22">
        <v>5.093</v>
      </c>
      <c r="Q492" s="23">
        <v>29.68</v>
      </c>
      <c r="R492" s="1">
        <v>8100</v>
      </c>
    </row>
    <row r="493" spans="1:18">
      <c r="A493" s="23">
        <v>18.07</v>
      </c>
      <c r="B493" s="17">
        <f t="shared" si="7"/>
        <v>13600</v>
      </c>
      <c r="C493" s="17">
        <v>13.6</v>
      </c>
      <c r="E493" s="23">
        <v>18.07</v>
      </c>
      <c r="F493" s="22">
        <v>5.9829999999999997</v>
      </c>
      <c r="G493" s="1">
        <v>13600</v>
      </c>
      <c r="I493" s="24">
        <v>1.43</v>
      </c>
      <c r="J493" s="19">
        <v>0.98799999999999999</v>
      </c>
      <c r="K493" s="20">
        <v>27.74</v>
      </c>
      <c r="L493" s="17">
        <v>0.60899999999999999</v>
      </c>
      <c r="M493" s="17">
        <v>4</v>
      </c>
      <c r="N493" s="21">
        <v>711</v>
      </c>
      <c r="O493" s="17">
        <v>20.100000000000001</v>
      </c>
      <c r="P493" s="22">
        <v>5.9829999999999997</v>
      </c>
      <c r="Q493" s="23">
        <v>18.07</v>
      </c>
      <c r="R493" s="1">
        <v>13600</v>
      </c>
    </row>
    <row r="494" spans="1:18">
      <c r="A494" s="23">
        <v>13.35</v>
      </c>
      <c r="B494" s="17">
        <f t="shared" si="7"/>
        <v>20100</v>
      </c>
      <c r="C494" s="17">
        <v>20.100000000000001</v>
      </c>
      <c r="E494" s="23">
        <v>13.35</v>
      </c>
      <c r="F494" s="22">
        <v>5.9829999999999997</v>
      </c>
      <c r="G494" s="1">
        <v>20100</v>
      </c>
      <c r="I494" s="24">
        <v>4.49</v>
      </c>
      <c r="J494" s="19">
        <v>0.83499999999999996</v>
      </c>
      <c r="K494" s="20">
        <v>27.74</v>
      </c>
      <c r="L494" s="17">
        <v>0.60899999999999999</v>
      </c>
      <c r="M494" s="17">
        <v>4</v>
      </c>
      <c r="N494" s="21">
        <v>711</v>
      </c>
      <c r="O494" s="17">
        <v>20.100000000000001</v>
      </c>
      <c r="P494" s="22">
        <v>5.9829999999999997</v>
      </c>
      <c r="Q494" s="23">
        <v>13.35</v>
      </c>
      <c r="R494" s="1">
        <v>20100</v>
      </c>
    </row>
    <row r="495" spans="1:18">
      <c r="A495" s="23">
        <v>12.01</v>
      </c>
      <c r="B495" s="17">
        <f t="shared" si="7"/>
        <v>21800</v>
      </c>
      <c r="C495" s="17">
        <v>21.8</v>
      </c>
      <c r="E495" s="23">
        <v>12.01</v>
      </c>
      <c r="F495" s="22">
        <v>5.7069999999999999</v>
      </c>
      <c r="G495" s="1">
        <v>21800</v>
      </c>
      <c r="I495" s="24">
        <v>8.6199999999999992</v>
      </c>
      <c r="J495" s="19">
        <v>0.54</v>
      </c>
      <c r="K495" s="20">
        <v>9.69</v>
      </c>
      <c r="L495" s="17">
        <v>0.58499999999999996</v>
      </c>
      <c r="M495" s="17">
        <v>6</v>
      </c>
      <c r="N495" s="21">
        <v>391</v>
      </c>
      <c r="O495" s="17">
        <v>19.2</v>
      </c>
      <c r="P495" s="22">
        <v>5.7069999999999999</v>
      </c>
      <c r="Q495" s="23">
        <v>12.01</v>
      </c>
      <c r="R495" s="1">
        <v>21800</v>
      </c>
    </row>
    <row r="496" spans="1:18">
      <c r="A496" s="23">
        <v>13.59</v>
      </c>
      <c r="B496" s="17">
        <f t="shared" si="7"/>
        <v>24500</v>
      </c>
      <c r="C496" s="17">
        <v>24.5</v>
      </c>
      <c r="E496" s="23">
        <v>13.59</v>
      </c>
      <c r="F496" s="22">
        <v>5.9260000000000002</v>
      </c>
      <c r="G496" s="1">
        <v>24500</v>
      </c>
      <c r="I496" s="24">
        <v>3.43</v>
      </c>
      <c r="J496" s="19">
        <v>0.42600000000000005</v>
      </c>
      <c r="K496" s="20">
        <v>9.69</v>
      </c>
      <c r="L496" s="17">
        <v>0.58499999999999996</v>
      </c>
      <c r="M496" s="17">
        <v>6</v>
      </c>
      <c r="N496" s="21">
        <v>391</v>
      </c>
      <c r="O496" s="17">
        <v>19.2</v>
      </c>
      <c r="P496" s="22">
        <v>5.9260000000000002</v>
      </c>
      <c r="Q496" s="23">
        <v>13.59</v>
      </c>
      <c r="R496" s="1">
        <v>24500</v>
      </c>
    </row>
    <row r="497" spans="1:18">
      <c r="A497" s="23">
        <v>17.600000000000001</v>
      </c>
      <c r="B497" s="17">
        <f t="shared" si="7"/>
        <v>23100</v>
      </c>
      <c r="C497" s="17">
        <v>23.1</v>
      </c>
      <c r="E497" s="23">
        <v>17.600000000000001</v>
      </c>
      <c r="F497" s="22">
        <v>5.67</v>
      </c>
      <c r="G497" s="1">
        <v>23100</v>
      </c>
      <c r="I497" s="24">
        <v>7.02</v>
      </c>
      <c r="J497" s="19">
        <v>0.28800000000000003</v>
      </c>
      <c r="K497" s="20">
        <v>9.69</v>
      </c>
      <c r="L497" s="17">
        <v>0.58499999999999996</v>
      </c>
      <c r="M497" s="17">
        <v>6</v>
      </c>
      <c r="N497" s="21">
        <v>391</v>
      </c>
      <c r="O497" s="17">
        <v>19.2</v>
      </c>
      <c r="P497" s="22">
        <v>5.67</v>
      </c>
      <c r="Q497" s="23">
        <v>17.600000000000001</v>
      </c>
      <c r="R497" s="1">
        <v>23100</v>
      </c>
    </row>
    <row r="498" spans="1:18">
      <c r="A498" s="23">
        <v>21.14</v>
      </c>
      <c r="B498" s="17">
        <f t="shared" si="7"/>
        <v>19700</v>
      </c>
      <c r="C498" s="17">
        <v>19.7</v>
      </c>
      <c r="E498" s="23">
        <v>21.14</v>
      </c>
      <c r="F498" s="22">
        <v>5.39</v>
      </c>
      <c r="G498" s="1">
        <v>19700</v>
      </c>
      <c r="I498" s="24">
        <v>6.43</v>
      </c>
      <c r="J498" s="19">
        <v>0.72900000000000009</v>
      </c>
      <c r="K498" s="20">
        <v>9.69</v>
      </c>
      <c r="L498" s="17">
        <v>0.58499999999999996</v>
      </c>
      <c r="M498" s="17">
        <v>6</v>
      </c>
      <c r="N498" s="21">
        <v>391</v>
      </c>
      <c r="O498" s="17">
        <v>19.2</v>
      </c>
      <c r="P498" s="22">
        <v>5.39</v>
      </c>
      <c r="Q498" s="23">
        <v>21.14</v>
      </c>
      <c r="R498" s="1">
        <v>19700</v>
      </c>
    </row>
    <row r="499" spans="1:18">
      <c r="A499" s="23">
        <v>14.1</v>
      </c>
      <c r="B499" s="17">
        <f t="shared" si="7"/>
        <v>18300</v>
      </c>
      <c r="C499" s="17">
        <v>18.3</v>
      </c>
      <c r="E499" s="23">
        <v>14.1</v>
      </c>
      <c r="F499" s="22">
        <v>5.7939999999999996</v>
      </c>
      <c r="G499" s="1">
        <v>18300</v>
      </c>
      <c r="I499" s="24">
        <v>9.0399999999999991</v>
      </c>
      <c r="J499" s="19">
        <v>0.70599999999999996</v>
      </c>
      <c r="K499" s="20">
        <v>9.69</v>
      </c>
      <c r="L499" s="17">
        <v>0.58499999999999996</v>
      </c>
      <c r="M499" s="17">
        <v>6</v>
      </c>
      <c r="N499" s="21">
        <v>391</v>
      </c>
      <c r="O499" s="17">
        <v>19.2</v>
      </c>
      <c r="P499" s="22">
        <v>5.7939999999999996</v>
      </c>
      <c r="Q499" s="23">
        <v>14.1</v>
      </c>
      <c r="R499" s="1">
        <v>18300</v>
      </c>
    </row>
    <row r="500" spans="1:18">
      <c r="A500" s="23">
        <v>12.92</v>
      </c>
      <c r="B500" s="17">
        <f t="shared" si="7"/>
        <v>21200</v>
      </c>
      <c r="C500" s="17">
        <v>21.2</v>
      </c>
      <c r="E500" s="23">
        <v>12.92</v>
      </c>
      <c r="F500" s="22">
        <v>6.0190000000000001</v>
      </c>
      <c r="G500" s="1">
        <v>21200</v>
      </c>
      <c r="I500" s="24">
        <v>3.49</v>
      </c>
      <c r="J500" s="19">
        <v>0.65300000000000002</v>
      </c>
      <c r="K500" s="20">
        <v>9.69</v>
      </c>
      <c r="L500" s="17">
        <v>0.58499999999999996</v>
      </c>
      <c r="M500" s="17">
        <v>6</v>
      </c>
      <c r="N500" s="21">
        <v>391</v>
      </c>
      <c r="O500" s="17">
        <v>19.2</v>
      </c>
      <c r="P500" s="22">
        <v>6.0190000000000001</v>
      </c>
      <c r="Q500" s="23">
        <v>12.92</v>
      </c>
      <c r="R500" s="1">
        <v>21200</v>
      </c>
    </row>
    <row r="501" spans="1:18">
      <c r="A501" s="23">
        <v>15.1</v>
      </c>
      <c r="B501" s="17">
        <f t="shared" si="7"/>
        <v>17500</v>
      </c>
      <c r="C501" s="17">
        <v>17.5</v>
      </c>
      <c r="E501" s="23">
        <v>15.1</v>
      </c>
      <c r="F501" s="22">
        <v>5.569</v>
      </c>
      <c r="G501" s="1">
        <v>17500</v>
      </c>
      <c r="I501" s="24">
        <v>2.37</v>
      </c>
      <c r="J501" s="19">
        <v>0.73499999999999999</v>
      </c>
      <c r="K501" s="20">
        <v>9.69</v>
      </c>
      <c r="L501" s="17">
        <v>0.58499999999999996</v>
      </c>
      <c r="M501" s="17">
        <v>6</v>
      </c>
      <c r="N501" s="21">
        <v>391</v>
      </c>
      <c r="O501" s="17">
        <v>19.2</v>
      </c>
      <c r="P501" s="22">
        <v>5.569</v>
      </c>
      <c r="Q501" s="23">
        <v>15.1</v>
      </c>
      <c r="R501" s="1">
        <v>17500</v>
      </c>
    </row>
    <row r="502" spans="1:18">
      <c r="A502" s="23">
        <v>14.33</v>
      </c>
      <c r="B502" s="17">
        <f t="shared" si="7"/>
        <v>16800</v>
      </c>
      <c r="C502" s="17">
        <v>16.8</v>
      </c>
      <c r="E502" s="23">
        <v>14.33</v>
      </c>
      <c r="F502" s="22">
        <v>6.0270000000000001</v>
      </c>
      <c r="G502" s="1">
        <v>16800</v>
      </c>
      <c r="I502" s="24">
        <v>3</v>
      </c>
      <c r="J502" s="19">
        <v>0.79700000000000004</v>
      </c>
      <c r="K502" s="20">
        <v>9.69</v>
      </c>
      <c r="L502" s="17">
        <v>0.58499999999999996</v>
      </c>
      <c r="M502" s="17">
        <v>6</v>
      </c>
      <c r="N502" s="21">
        <v>391</v>
      </c>
      <c r="O502" s="17">
        <v>19.2</v>
      </c>
      <c r="P502" s="22">
        <v>6.0270000000000001</v>
      </c>
      <c r="Q502" s="23">
        <v>14.33</v>
      </c>
      <c r="R502" s="1">
        <v>16800</v>
      </c>
    </row>
    <row r="503" spans="1:18">
      <c r="A503" s="23">
        <v>9.67</v>
      </c>
      <c r="B503" s="17">
        <f t="shared" si="7"/>
        <v>22400</v>
      </c>
      <c r="C503" s="17">
        <v>22.4</v>
      </c>
      <c r="E503" s="23">
        <v>9.67</v>
      </c>
      <c r="F503" s="22">
        <v>6.593</v>
      </c>
      <c r="G503" s="1">
        <v>22400</v>
      </c>
      <c r="I503" s="24">
        <v>4.4800000000000004</v>
      </c>
      <c r="J503" s="19">
        <v>0.69099999999999995</v>
      </c>
      <c r="K503" s="20">
        <v>11.93</v>
      </c>
      <c r="L503" s="17">
        <v>0.57299999999999995</v>
      </c>
      <c r="M503" s="17">
        <v>1</v>
      </c>
      <c r="N503" s="21">
        <v>273</v>
      </c>
      <c r="O503" s="17">
        <v>21</v>
      </c>
      <c r="P503" s="22">
        <v>6.593</v>
      </c>
      <c r="Q503" s="23">
        <v>9.67</v>
      </c>
      <c r="R503" s="1">
        <v>22400</v>
      </c>
    </row>
    <row r="504" spans="1:18">
      <c r="A504" s="23">
        <v>9.08</v>
      </c>
      <c r="B504" s="17">
        <f t="shared" si="7"/>
        <v>20600</v>
      </c>
      <c r="C504" s="17">
        <v>20.6</v>
      </c>
      <c r="E504" s="23">
        <v>9.08</v>
      </c>
      <c r="F504" s="22">
        <v>6.12</v>
      </c>
      <c r="G504" s="1">
        <v>20600</v>
      </c>
      <c r="I504" s="24">
        <v>0.46</v>
      </c>
      <c r="J504" s="19">
        <v>0.76700000000000002</v>
      </c>
      <c r="K504" s="20">
        <v>11.93</v>
      </c>
      <c r="L504" s="17">
        <v>0.57299999999999995</v>
      </c>
      <c r="M504" s="17">
        <v>1</v>
      </c>
      <c r="N504" s="21">
        <v>273</v>
      </c>
      <c r="O504" s="17">
        <v>21</v>
      </c>
      <c r="P504" s="22">
        <v>6.12</v>
      </c>
      <c r="Q504" s="23">
        <v>9.08</v>
      </c>
      <c r="R504" s="1">
        <v>20600</v>
      </c>
    </row>
    <row r="505" spans="1:18">
      <c r="A505" s="23">
        <v>5.64</v>
      </c>
      <c r="B505" s="17">
        <f t="shared" si="7"/>
        <v>23900</v>
      </c>
      <c r="C505" s="17">
        <v>23.9</v>
      </c>
      <c r="E505" s="23">
        <v>5.64</v>
      </c>
      <c r="F505" s="22">
        <v>6.976</v>
      </c>
      <c r="G505" s="1">
        <v>23900</v>
      </c>
      <c r="I505" s="24">
        <v>9.42</v>
      </c>
      <c r="J505" s="19">
        <v>0.91</v>
      </c>
      <c r="K505" s="20">
        <v>11.93</v>
      </c>
      <c r="L505" s="17">
        <v>0.57299999999999995</v>
      </c>
      <c r="M505" s="17">
        <v>1</v>
      </c>
      <c r="N505" s="21">
        <v>273</v>
      </c>
      <c r="O505" s="17">
        <v>21</v>
      </c>
      <c r="P505" s="22">
        <v>6.976</v>
      </c>
      <c r="Q505" s="23">
        <v>5.64</v>
      </c>
      <c r="R505" s="1">
        <v>23900</v>
      </c>
    </row>
    <row r="506" spans="1:18">
      <c r="A506" s="23">
        <v>6.48</v>
      </c>
      <c r="B506" s="17">
        <f t="shared" si="7"/>
        <v>22000</v>
      </c>
      <c r="C506" s="17">
        <v>22</v>
      </c>
      <c r="E506" s="23">
        <v>6.48</v>
      </c>
      <c r="F506" s="22">
        <v>6.7939999999999996</v>
      </c>
      <c r="G506" s="1">
        <v>22000</v>
      </c>
      <c r="I506" s="24">
        <v>6.94</v>
      </c>
      <c r="J506" s="19">
        <v>0.89300000000000002</v>
      </c>
      <c r="K506" s="20">
        <v>11.93</v>
      </c>
      <c r="L506" s="17">
        <v>0.57299999999999995</v>
      </c>
      <c r="M506" s="17">
        <v>1</v>
      </c>
      <c r="N506" s="21">
        <v>273</v>
      </c>
      <c r="O506" s="17">
        <v>21</v>
      </c>
      <c r="P506" s="22">
        <v>6.7939999999999996</v>
      </c>
      <c r="Q506" s="23">
        <v>6.48</v>
      </c>
      <c r="R506" s="1">
        <v>22000</v>
      </c>
    </row>
    <row r="507" spans="1:18">
      <c r="A507" s="23">
        <v>7.88</v>
      </c>
      <c r="B507" s="17">
        <f t="shared" si="7"/>
        <v>11900</v>
      </c>
      <c r="C507" s="17">
        <v>11.9</v>
      </c>
      <c r="E507" s="23">
        <v>7.88</v>
      </c>
      <c r="F507" s="22">
        <v>6.03</v>
      </c>
      <c r="G507" s="1">
        <v>11900</v>
      </c>
      <c r="I507" s="24">
        <v>9.5399999999999991</v>
      </c>
      <c r="J507" s="19">
        <v>0.80799999999999994</v>
      </c>
      <c r="K507" s="20">
        <v>11.93</v>
      </c>
      <c r="L507" s="17">
        <v>0.57299999999999995</v>
      </c>
      <c r="M507" s="17">
        <v>1</v>
      </c>
      <c r="N507" s="21">
        <v>273</v>
      </c>
      <c r="O507" s="17">
        <v>21</v>
      </c>
      <c r="P507" s="22">
        <v>6.03</v>
      </c>
      <c r="Q507" s="23">
        <v>7.88</v>
      </c>
      <c r="R507" s="1">
        <v>11900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45CB6-D222-46A5-901E-88D3C367557C}">
  <dimension ref="A1:T20"/>
  <sheetViews>
    <sheetView topLeftCell="L1" zoomScale="98" zoomScaleNormal="98" workbookViewId="0">
      <selection activeCell="V19" sqref="V19"/>
    </sheetView>
  </sheetViews>
  <sheetFormatPr defaultRowHeight="15"/>
  <cols>
    <col min="1" max="1" width="23.28515625" bestFit="1" customWidth="1"/>
    <col min="3" max="3" width="23.28515625" bestFit="1" customWidth="1"/>
    <col min="4" max="4" width="13.7109375" bestFit="1" customWidth="1"/>
    <col min="5" max="5" width="23.28515625" bestFit="1" customWidth="1"/>
    <col min="6" max="6" width="13.7109375" bestFit="1" customWidth="1"/>
    <col min="7" max="7" width="23.28515625" bestFit="1" customWidth="1"/>
    <col min="8" max="8" width="13.7109375" bestFit="1" customWidth="1"/>
    <col min="9" max="9" width="23.28515625" bestFit="1" customWidth="1"/>
    <col min="10" max="10" width="13.7109375" bestFit="1" customWidth="1"/>
    <col min="11" max="11" width="23.28515625" bestFit="1" customWidth="1"/>
    <col min="12" max="12" width="13.7109375" bestFit="1" customWidth="1"/>
    <col min="13" max="13" width="23.28515625" bestFit="1" customWidth="1"/>
    <col min="14" max="14" width="13.7109375" bestFit="1" customWidth="1"/>
    <col min="15" max="15" width="23.28515625" bestFit="1" customWidth="1"/>
    <col min="16" max="16" width="13.140625" bestFit="1" customWidth="1"/>
    <col min="17" max="17" width="23.28515625" bestFit="1" customWidth="1"/>
    <col min="18" max="18" width="13.140625" bestFit="1" customWidth="1"/>
    <col min="19" max="19" width="23.28515625" bestFit="1" customWidth="1"/>
    <col min="20" max="20" width="13.140625" customWidth="1"/>
  </cols>
  <sheetData>
    <row r="1" spans="1:20">
      <c r="A1" s="56" t="s">
        <v>3</v>
      </c>
      <c r="B1" s="56"/>
      <c r="C1" s="56" t="s">
        <v>6</v>
      </c>
      <c r="D1" s="56"/>
      <c r="E1" s="56" t="s">
        <v>5</v>
      </c>
      <c r="F1" s="56"/>
      <c r="G1" s="56" t="s">
        <v>25</v>
      </c>
      <c r="H1" s="56"/>
      <c r="I1" s="56" t="s">
        <v>7</v>
      </c>
      <c r="J1" s="56"/>
      <c r="K1" s="56" t="s">
        <v>8</v>
      </c>
      <c r="L1" s="56"/>
      <c r="M1" s="56" t="s">
        <v>1</v>
      </c>
      <c r="N1" s="56"/>
      <c r="O1" s="56" t="s">
        <v>4</v>
      </c>
      <c r="P1" s="56"/>
      <c r="Q1" s="56" t="s">
        <v>2</v>
      </c>
      <c r="R1" s="56"/>
      <c r="S1" s="56" t="s">
        <v>9</v>
      </c>
      <c r="T1" s="56"/>
    </row>
    <row r="2" spans="1:20">
      <c r="A2" s="11" t="s">
        <v>26</v>
      </c>
      <c r="B2" s="1">
        <v>4.8679841897233178</v>
      </c>
      <c r="C2" s="11" t="s">
        <v>26</v>
      </c>
      <c r="D2" s="1">
        <v>0.68574901185770687</v>
      </c>
      <c r="E2" s="11" t="s">
        <v>26</v>
      </c>
      <c r="F2" s="1">
        <v>11.136778656126504</v>
      </c>
      <c r="G2" s="11" t="s">
        <v>26</v>
      </c>
      <c r="H2" s="1">
        <v>0.55469505928853724</v>
      </c>
      <c r="I2" s="11" t="s">
        <v>26</v>
      </c>
      <c r="J2" s="1">
        <v>9.5494071146245059</v>
      </c>
      <c r="K2" s="11" t="s">
        <v>26</v>
      </c>
      <c r="L2" s="1">
        <v>408.23715415019763</v>
      </c>
      <c r="M2" s="11" t="s">
        <v>26</v>
      </c>
      <c r="N2" s="1">
        <v>18.455533596837967</v>
      </c>
      <c r="O2" s="11" t="s">
        <v>26</v>
      </c>
      <c r="P2" s="1">
        <v>6.2846343873517867</v>
      </c>
      <c r="Q2" s="11" t="s">
        <v>26</v>
      </c>
      <c r="R2" s="1">
        <v>12.653063241106723</v>
      </c>
      <c r="S2" s="11" t="s">
        <v>26</v>
      </c>
      <c r="T2">
        <v>22532.806324110672</v>
      </c>
    </row>
    <row r="3" spans="1:20">
      <c r="A3" s="11" t="s">
        <v>27</v>
      </c>
      <c r="B3" s="1">
        <v>0.12983336366347417</v>
      </c>
      <c r="C3" s="11" t="s">
        <v>27</v>
      </c>
      <c r="D3" s="1">
        <v>1.2513695252583116E-2</v>
      </c>
      <c r="E3" s="11" t="s">
        <v>27</v>
      </c>
      <c r="F3" s="1">
        <v>0.30497988812613019</v>
      </c>
      <c r="G3" s="11" t="s">
        <v>27</v>
      </c>
      <c r="H3" s="1">
        <v>5.1513910240283929E-3</v>
      </c>
      <c r="I3" s="11" t="s">
        <v>27</v>
      </c>
      <c r="J3" s="1">
        <v>0.38708489428578602</v>
      </c>
      <c r="K3" s="11" t="s">
        <v>27</v>
      </c>
      <c r="L3" s="1">
        <v>7.4923886922962053</v>
      </c>
      <c r="M3" s="11" t="s">
        <v>27</v>
      </c>
      <c r="N3" s="1">
        <v>9.6243567832414598E-2</v>
      </c>
      <c r="O3" s="11" t="s">
        <v>27</v>
      </c>
      <c r="P3" s="1">
        <v>3.1235141929339023E-2</v>
      </c>
      <c r="Q3" s="11" t="s">
        <v>27</v>
      </c>
      <c r="R3" s="1">
        <v>0.31745890621014489</v>
      </c>
      <c r="S3" s="11" t="s">
        <v>27</v>
      </c>
      <c r="T3" s="1">
        <v>408.86114749753506</v>
      </c>
    </row>
    <row r="4" spans="1:20">
      <c r="A4" s="11" t="s">
        <v>28</v>
      </c>
      <c r="B4" s="1">
        <v>4.8149999999999995</v>
      </c>
      <c r="C4" s="11" t="s">
        <v>28</v>
      </c>
      <c r="D4" s="1">
        <v>0.77500000000000002</v>
      </c>
      <c r="E4" s="11" t="s">
        <v>28</v>
      </c>
      <c r="F4" s="1">
        <v>9.69</v>
      </c>
      <c r="G4" s="11" t="s">
        <v>28</v>
      </c>
      <c r="H4" s="1">
        <v>0.53800000000000003</v>
      </c>
      <c r="I4" s="11" t="s">
        <v>28</v>
      </c>
      <c r="J4" s="1">
        <v>5</v>
      </c>
      <c r="K4" s="11" t="s">
        <v>28</v>
      </c>
      <c r="L4" s="1">
        <v>330</v>
      </c>
      <c r="M4" s="11" t="s">
        <v>28</v>
      </c>
      <c r="N4" s="1">
        <v>19.05</v>
      </c>
      <c r="O4" s="11" t="s">
        <v>28</v>
      </c>
      <c r="P4" s="1">
        <v>6.2084999999999999</v>
      </c>
      <c r="Q4" s="11" t="s">
        <v>28</v>
      </c>
      <c r="R4" s="1">
        <v>11.36</v>
      </c>
      <c r="S4" s="11" t="s">
        <v>28</v>
      </c>
      <c r="T4" s="1">
        <v>21200</v>
      </c>
    </row>
    <row r="5" spans="1:20">
      <c r="A5" s="11" t="s">
        <v>29</v>
      </c>
      <c r="B5" s="1">
        <v>3.43</v>
      </c>
      <c r="C5" s="11" t="s">
        <v>29</v>
      </c>
      <c r="D5" s="1">
        <v>1</v>
      </c>
      <c r="E5" s="11" t="s">
        <v>29</v>
      </c>
      <c r="F5" s="1">
        <v>18.100000000000001</v>
      </c>
      <c r="G5" s="11" t="s">
        <v>29</v>
      </c>
      <c r="H5" s="1">
        <v>0.53800000000000003</v>
      </c>
      <c r="I5" s="11" t="s">
        <v>29</v>
      </c>
      <c r="J5" s="1">
        <v>24</v>
      </c>
      <c r="K5" s="11" t="s">
        <v>29</v>
      </c>
      <c r="L5" s="1">
        <v>666</v>
      </c>
      <c r="M5" s="11" t="s">
        <v>29</v>
      </c>
      <c r="N5" s="1">
        <v>20.2</v>
      </c>
      <c r="O5" s="11" t="s">
        <v>29</v>
      </c>
      <c r="P5" s="1">
        <v>5.7130000000000001</v>
      </c>
      <c r="Q5" s="11" t="s">
        <v>29</v>
      </c>
      <c r="R5" s="1">
        <v>8.0500000000000007</v>
      </c>
      <c r="S5" s="11" t="s">
        <v>29</v>
      </c>
      <c r="T5" s="1">
        <v>50000</v>
      </c>
    </row>
    <row r="6" spans="1:20">
      <c r="A6" s="11" t="s">
        <v>30</v>
      </c>
      <c r="B6" s="1">
        <v>2.9205292968924312</v>
      </c>
      <c r="C6" s="11" t="s">
        <v>30</v>
      </c>
      <c r="D6" s="1">
        <v>0.28148861406903786</v>
      </c>
      <c r="E6" s="11" t="s">
        <v>30</v>
      </c>
      <c r="F6" s="1">
        <v>6.8603529408975747</v>
      </c>
      <c r="G6" s="11" t="s">
        <v>30</v>
      </c>
      <c r="H6" s="1">
        <v>0.11587767566755379</v>
      </c>
      <c r="I6" s="11" t="s">
        <v>30</v>
      </c>
      <c r="J6" s="1">
        <v>8.7072593842393662</v>
      </c>
      <c r="K6" s="11" t="s">
        <v>30</v>
      </c>
      <c r="L6" s="1">
        <v>168.53711605495897</v>
      </c>
      <c r="M6" s="11" t="s">
        <v>30</v>
      </c>
      <c r="N6" s="1">
        <v>2.1649455237143891</v>
      </c>
      <c r="O6" s="11" t="s">
        <v>30</v>
      </c>
      <c r="P6" s="1">
        <v>0.70261714341528281</v>
      </c>
      <c r="Q6" s="11" t="s">
        <v>30</v>
      </c>
      <c r="R6" s="1">
        <v>7.1410615113485498</v>
      </c>
      <c r="S6" s="11" t="s">
        <v>30</v>
      </c>
      <c r="T6" s="1">
        <v>9197.1040873798192</v>
      </c>
    </row>
    <row r="7" spans="1:20">
      <c r="A7" s="11" t="s">
        <v>31</v>
      </c>
      <c r="B7" s="1">
        <v>8.5294913740069997</v>
      </c>
      <c r="C7" s="11" t="s">
        <v>31</v>
      </c>
      <c r="D7" s="1">
        <v>7.9235839850507722E-2</v>
      </c>
      <c r="E7" s="11" t="s">
        <v>31</v>
      </c>
      <c r="F7" s="1">
        <v>47.064442473682007</v>
      </c>
      <c r="G7" s="11" t="s">
        <v>31</v>
      </c>
      <c r="H7" s="1">
        <v>1.3427635718114788E-2</v>
      </c>
      <c r="I7" s="11" t="s">
        <v>31</v>
      </c>
      <c r="J7" s="1">
        <v>75.816365984424522</v>
      </c>
      <c r="K7" s="11" t="s">
        <v>31</v>
      </c>
      <c r="L7" s="1">
        <v>28404.759488122712</v>
      </c>
      <c r="M7" s="11" t="s">
        <v>31</v>
      </c>
      <c r="N7" s="1">
        <v>4.6869891206509697</v>
      </c>
      <c r="O7" s="11" t="s">
        <v>31</v>
      </c>
      <c r="P7" s="1">
        <v>0.49367085022105212</v>
      </c>
      <c r="Q7" s="11" t="s">
        <v>31</v>
      </c>
      <c r="R7" s="1">
        <v>50.994759508863638</v>
      </c>
      <c r="S7" s="11" t="s">
        <v>31</v>
      </c>
      <c r="T7" s="1">
        <v>84586723.594098568</v>
      </c>
    </row>
    <row r="8" spans="1:20">
      <c r="A8" s="11" t="s">
        <v>32</v>
      </c>
      <c r="B8" s="1">
        <v>-1.1876010599987963</v>
      </c>
      <c r="C8" s="11" t="s">
        <v>32</v>
      </c>
      <c r="D8" s="1">
        <v>-0.96771559416270403</v>
      </c>
      <c r="E8" s="11" t="s">
        <v>32</v>
      </c>
      <c r="F8" s="1">
        <v>-1.233539601149531</v>
      </c>
      <c r="G8" s="11" t="s">
        <v>32</v>
      </c>
      <c r="H8" s="1">
        <v>-6.4667133365429397E-2</v>
      </c>
      <c r="I8" s="11" t="s">
        <v>32</v>
      </c>
      <c r="J8" s="1">
        <v>-0.86723199360350334</v>
      </c>
      <c r="K8" s="11" t="s">
        <v>32</v>
      </c>
      <c r="L8" s="1">
        <v>-1.142407992476824</v>
      </c>
      <c r="M8" s="11" t="s">
        <v>32</v>
      </c>
      <c r="N8" s="1">
        <v>-0.28509138330541051</v>
      </c>
      <c r="O8" s="11" t="s">
        <v>32</v>
      </c>
      <c r="P8" s="1">
        <v>1.8915003664993173</v>
      </c>
      <c r="Q8" s="11" t="s">
        <v>32</v>
      </c>
      <c r="R8" s="1">
        <v>0.49323951739272553</v>
      </c>
      <c r="S8" s="11" t="s">
        <v>32</v>
      </c>
      <c r="T8" s="1">
        <v>1.4951969441658144</v>
      </c>
    </row>
    <row r="9" spans="1:20">
      <c r="A9" s="11" t="s">
        <v>33</v>
      </c>
      <c r="B9" s="1">
        <v>2.5601287167592149E-2</v>
      </c>
      <c r="C9" s="11" t="s">
        <v>33</v>
      </c>
      <c r="D9" s="1">
        <v>-0.5989626398812874</v>
      </c>
      <c r="E9" s="11" t="s">
        <v>33</v>
      </c>
      <c r="F9" s="1">
        <v>0.29502156787350237</v>
      </c>
      <c r="G9" s="11" t="s">
        <v>33</v>
      </c>
      <c r="H9" s="1">
        <v>0.72930792253488452</v>
      </c>
      <c r="I9" s="11" t="s">
        <v>33</v>
      </c>
      <c r="J9" s="1">
        <v>1.004814648218201</v>
      </c>
      <c r="K9" s="11" t="s">
        <v>33</v>
      </c>
      <c r="L9" s="1">
        <v>0.66995594179501428</v>
      </c>
      <c r="M9" s="11" t="s">
        <v>33</v>
      </c>
      <c r="N9" s="1">
        <v>-0.8023249268537983</v>
      </c>
      <c r="O9" s="11" t="s">
        <v>33</v>
      </c>
      <c r="P9" s="1">
        <v>0.40361213328870982</v>
      </c>
      <c r="Q9" s="11" t="s">
        <v>33</v>
      </c>
      <c r="R9" s="1">
        <v>0.90646009359153534</v>
      </c>
      <c r="S9" s="11" t="s">
        <v>33</v>
      </c>
      <c r="T9" s="1">
        <v>1.1080984082549106</v>
      </c>
    </row>
    <row r="10" spans="1:20">
      <c r="A10" s="11" t="s">
        <v>34</v>
      </c>
      <c r="B10" s="1">
        <v>9.9500000000000011</v>
      </c>
      <c r="C10" s="11" t="s">
        <v>34</v>
      </c>
      <c r="D10" s="1">
        <v>0.97099999999999997</v>
      </c>
      <c r="E10" s="11" t="s">
        <v>34</v>
      </c>
      <c r="F10" s="1">
        <v>27.279999999999998</v>
      </c>
      <c r="G10" s="11" t="s">
        <v>34</v>
      </c>
      <c r="H10" s="1">
        <v>0.48599999999999999</v>
      </c>
      <c r="I10" s="11" t="s">
        <v>34</v>
      </c>
      <c r="J10" s="1">
        <v>23</v>
      </c>
      <c r="K10" s="11" t="s">
        <v>34</v>
      </c>
      <c r="L10" s="1">
        <v>524</v>
      </c>
      <c r="M10" s="11" t="s">
        <v>34</v>
      </c>
      <c r="N10" s="1">
        <v>9.4</v>
      </c>
      <c r="O10" s="11" t="s">
        <v>34</v>
      </c>
      <c r="P10" s="1">
        <v>5.2189999999999994</v>
      </c>
      <c r="Q10" s="11" t="s">
        <v>34</v>
      </c>
      <c r="R10" s="1">
        <v>36.24</v>
      </c>
      <c r="S10" s="11" t="s">
        <v>34</v>
      </c>
      <c r="T10" s="1">
        <v>45000</v>
      </c>
    </row>
    <row r="11" spans="1:20">
      <c r="A11" s="11" t="s">
        <v>35</v>
      </c>
      <c r="B11" s="1">
        <v>0.04</v>
      </c>
      <c r="C11" s="11" t="s">
        <v>35</v>
      </c>
      <c r="D11" s="1">
        <v>2.8999999999999998E-2</v>
      </c>
      <c r="E11" s="11" t="s">
        <v>35</v>
      </c>
      <c r="F11" s="1">
        <v>0.46</v>
      </c>
      <c r="G11" s="11" t="s">
        <v>35</v>
      </c>
      <c r="H11" s="1">
        <v>0.38500000000000001</v>
      </c>
      <c r="I11" s="11" t="s">
        <v>35</v>
      </c>
      <c r="J11" s="1">
        <v>1</v>
      </c>
      <c r="K11" s="11" t="s">
        <v>35</v>
      </c>
      <c r="L11" s="1">
        <v>187</v>
      </c>
      <c r="M11" s="11" t="s">
        <v>35</v>
      </c>
      <c r="N11" s="1">
        <v>12.6</v>
      </c>
      <c r="O11" s="11" t="s">
        <v>35</v>
      </c>
      <c r="P11" s="1">
        <v>3.5609999999999999</v>
      </c>
      <c r="Q11" s="11" t="s">
        <v>35</v>
      </c>
      <c r="R11" s="1">
        <v>1.73</v>
      </c>
      <c r="S11" s="11" t="s">
        <v>35</v>
      </c>
      <c r="T11" s="1">
        <v>5000</v>
      </c>
    </row>
    <row r="12" spans="1:20">
      <c r="A12" s="11" t="s">
        <v>36</v>
      </c>
      <c r="B12" s="1">
        <v>9.99</v>
      </c>
      <c r="C12" s="11" t="s">
        <v>36</v>
      </c>
      <c r="D12" s="1">
        <v>1</v>
      </c>
      <c r="E12" s="11" t="s">
        <v>36</v>
      </c>
      <c r="F12" s="1">
        <v>27.74</v>
      </c>
      <c r="G12" s="11" t="s">
        <v>36</v>
      </c>
      <c r="H12" s="1">
        <v>0.871</v>
      </c>
      <c r="I12" s="11" t="s">
        <v>36</v>
      </c>
      <c r="J12" s="1">
        <v>24</v>
      </c>
      <c r="K12" s="11" t="s">
        <v>36</v>
      </c>
      <c r="L12" s="1">
        <v>711</v>
      </c>
      <c r="M12" s="11" t="s">
        <v>36</v>
      </c>
      <c r="N12" s="1">
        <v>22</v>
      </c>
      <c r="O12" s="11" t="s">
        <v>36</v>
      </c>
      <c r="P12" s="1">
        <v>8.7799999999999994</v>
      </c>
      <c r="Q12" s="11" t="s">
        <v>36</v>
      </c>
      <c r="R12" s="1">
        <v>37.97</v>
      </c>
      <c r="S12" s="11" t="s">
        <v>36</v>
      </c>
      <c r="T12" s="1">
        <v>50000</v>
      </c>
    </row>
    <row r="13" spans="1:20">
      <c r="A13" s="11" t="s">
        <v>37</v>
      </c>
      <c r="B13" s="1">
        <v>2463.1999999999989</v>
      </c>
      <c r="C13" s="11" t="s">
        <v>37</v>
      </c>
      <c r="D13" s="1">
        <v>346.98899999999969</v>
      </c>
      <c r="E13" s="11" t="s">
        <v>37</v>
      </c>
      <c r="F13" s="1">
        <v>5635.210000000011</v>
      </c>
      <c r="G13" s="11" t="s">
        <v>37</v>
      </c>
      <c r="H13" s="1">
        <v>280.67569999999984</v>
      </c>
      <c r="I13" s="11" t="s">
        <v>37</v>
      </c>
      <c r="J13" s="1">
        <v>4832</v>
      </c>
      <c r="K13" s="11" t="s">
        <v>37</v>
      </c>
      <c r="L13" s="1">
        <v>206568</v>
      </c>
      <c r="M13" s="11" t="s">
        <v>37</v>
      </c>
      <c r="N13" s="1">
        <v>9338.5000000000109</v>
      </c>
      <c r="O13" s="11" t="s">
        <v>37</v>
      </c>
      <c r="P13" s="1">
        <v>3180.0250000000042</v>
      </c>
      <c r="Q13" s="11" t="s">
        <v>37</v>
      </c>
      <c r="R13" s="1">
        <v>6402.4500000000016</v>
      </c>
      <c r="S13" s="11" t="s">
        <v>37</v>
      </c>
      <c r="T13" s="1">
        <v>11401600</v>
      </c>
    </row>
    <row r="14" spans="1:20">
      <c r="A14" s="11" t="s">
        <v>38</v>
      </c>
      <c r="B14" s="1">
        <v>506</v>
      </c>
      <c r="C14" s="11" t="s">
        <v>38</v>
      </c>
      <c r="D14" s="1">
        <v>506</v>
      </c>
      <c r="E14" s="11" t="s">
        <v>38</v>
      </c>
      <c r="F14" s="1">
        <v>506</v>
      </c>
      <c r="G14" s="11" t="s">
        <v>38</v>
      </c>
      <c r="H14" s="1">
        <v>506</v>
      </c>
      <c r="I14" s="11" t="s">
        <v>38</v>
      </c>
      <c r="J14" s="1">
        <v>506</v>
      </c>
      <c r="K14" s="11" t="s">
        <v>38</v>
      </c>
      <c r="L14" s="1">
        <v>506</v>
      </c>
      <c r="M14" s="11" t="s">
        <v>38</v>
      </c>
      <c r="N14" s="1">
        <v>506</v>
      </c>
      <c r="O14" s="11" t="s">
        <v>38</v>
      </c>
      <c r="P14" s="1">
        <v>506</v>
      </c>
      <c r="Q14" s="11" t="s">
        <v>38</v>
      </c>
      <c r="R14" s="1">
        <v>506</v>
      </c>
      <c r="S14" s="11" t="s">
        <v>38</v>
      </c>
      <c r="T14" s="1">
        <v>506</v>
      </c>
    </row>
    <row r="15" spans="1:20">
      <c r="A15" s="11" t="s">
        <v>39</v>
      </c>
      <c r="B15" s="1">
        <v>0.33569711634058236</v>
      </c>
      <c r="C15" s="11" t="s">
        <v>39</v>
      </c>
      <c r="D15" s="1">
        <v>3.2355407674297169E-2</v>
      </c>
      <c r="E15" s="11" t="s">
        <v>39</v>
      </c>
      <c r="F15" s="1">
        <v>0.78855593121029177</v>
      </c>
      <c r="G15" s="11" t="s">
        <v>39</v>
      </c>
      <c r="H15" s="1">
        <v>1.3319435491107088E-2</v>
      </c>
      <c r="I15" s="11" t="s">
        <v>39</v>
      </c>
      <c r="J15" s="1">
        <v>1.0008466169570118</v>
      </c>
      <c r="K15" s="11" t="s">
        <v>39</v>
      </c>
      <c r="L15" s="1">
        <v>19.372318543836766</v>
      </c>
      <c r="M15" s="11" t="s">
        <v>39</v>
      </c>
      <c r="N15" s="1">
        <v>0.24884734767724553</v>
      </c>
      <c r="O15" s="11" t="s">
        <v>39</v>
      </c>
      <c r="P15" s="1">
        <v>8.0761576056415527E-2</v>
      </c>
      <c r="Q15" s="11" t="s">
        <v>39</v>
      </c>
      <c r="R15" s="1">
        <v>0.82082167760521663</v>
      </c>
      <c r="S15" s="11" t="s">
        <v>39</v>
      </c>
      <c r="T15" s="1">
        <v>1057.1512924396131</v>
      </c>
    </row>
    <row r="17" spans="1:20">
      <c r="A17" s="12" t="s">
        <v>40</v>
      </c>
      <c r="C17" s="12" t="s">
        <v>41</v>
      </c>
      <c r="E17" s="12" t="s">
        <v>42</v>
      </c>
      <c r="G17" s="12" t="s">
        <v>43</v>
      </c>
      <c r="I17" s="12" t="s">
        <v>44</v>
      </c>
      <c r="K17" s="12" t="s">
        <v>45</v>
      </c>
      <c r="M17" s="12" t="s">
        <v>46</v>
      </c>
      <c r="O17" s="12" t="s">
        <v>47</v>
      </c>
      <c r="Q17" s="12" t="s">
        <v>48</v>
      </c>
      <c r="S17" s="12" t="s">
        <v>49</v>
      </c>
    </row>
    <row r="20" spans="1:20">
      <c r="T20" t="s">
        <v>10</v>
      </c>
    </row>
  </sheetData>
  <mergeCells count="10">
    <mergeCell ref="M1:N1"/>
    <mergeCell ref="O1:P1"/>
    <mergeCell ref="Q1:R1"/>
    <mergeCell ref="S1:T1"/>
    <mergeCell ref="A1:B1"/>
    <mergeCell ref="C1:D1"/>
    <mergeCell ref="E1:F1"/>
    <mergeCell ref="G1:H1"/>
    <mergeCell ref="I1:J1"/>
    <mergeCell ref="K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F4124-389C-4076-8D99-AE281FC04D6A}">
  <dimension ref="A1:D507"/>
  <sheetViews>
    <sheetView topLeftCell="A14" workbookViewId="0">
      <selection activeCell="C14" sqref="C14"/>
    </sheetView>
  </sheetViews>
  <sheetFormatPr defaultRowHeight="15"/>
  <cols>
    <col min="2" max="2" width="11.28515625" bestFit="1" customWidth="1"/>
    <col min="11" max="11" width="11.28515625" customWidth="1"/>
  </cols>
  <sheetData>
    <row r="1" spans="1:2">
      <c r="A1" t="s">
        <v>9</v>
      </c>
      <c r="B1" t="s">
        <v>111</v>
      </c>
    </row>
    <row r="2" spans="1:2">
      <c r="A2" s="42">
        <v>24</v>
      </c>
      <c r="B2">
        <f>A2*1000</f>
        <v>24000</v>
      </c>
    </row>
    <row r="3" spans="1:2">
      <c r="A3">
        <v>21.6</v>
      </c>
      <c r="B3">
        <f t="shared" ref="B3:B66" si="0">A3*1000</f>
        <v>21600</v>
      </c>
    </row>
    <row r="4" spans="1:2">
      <c r="A4">
        <v>34.700000000000003</v>
      </c>
      <c r="B4">
        <f t="shared" si="0"/>
        <v>34700</v>
      </c>
    </row>
    <row r="5" spans="1:2">
      <c r="A5">
        <v>33.4</v>
      </c>
      <c r="B5">
        <f t="shared" si="0"/>
        <v>33400</v>
      </c>
    </row>
    <row r="6" spans="1:2">
      <c r="A6">
        <v>36.200000000000003</v>
      </c>
      <c r="B6">
        <f t="shared" si="0"/>
        <v>36200</v>
      </c>
    </row>
    <row r="7" spans="1:2">
      <c r="A7">
        <v>28.7</v>
      </c>
      <c r="B7">
        <f t="shared" si="0"/>
        <v>28700</v>
      </c>
    </row>
    <row r="8" spans="1:2">
      <c r="A8">
        <v>22.9</v>
      </c>
      <c r="B8">
        <f t="shared" si="0"/>
        <v>22900</v>
      </c>
    </row>
    <row r="9" spans="1:2">
      <c r="A9">
        <v>27.1</v>
      </c>
      <c r="B9">
        <f t="shared" si="0"/>
        <v>27100</v>
      </c>
    </row>
    <row r="10" spans="1:2">
      <c r="A10">
        <v>16.5</v>
      </c>
      <c r="B10">
        <f t="shared" si="0"/>
        <v>16500</v>
      </c>
    </row>
    <row r="11" spans="1:2">
      <c r="A11">
        <v>18.899999999999999</v>
      </c>
      <c r="B11">
        <f t="shared" si="0"/>
        <v>18900</v>
      </c>
    </row>
    <row r="12" spans="1:2">
      <c r="A12">
        <v>15</v>
      </c>
      <c r="B12">
        <f t="shared" si="0"/>
        <v>15000</v>
      </c>
    </row>
    <row r="13" spans="1:2">
      <c r="A13">
        <v>18.899999999999999</v>
      </c>
      <c r="B13">
        <f t="shared" si="0"/>
        <v>18900</v>
      </c>
    </row>
    <row r="14" spans="1:2">
      <c r="A14">
        <v>21.7</v>
      </c>
      <c r="B14">
        <f t="shared" si="0"/>
        <v>21700</v>
      </c>
    </row>
    <row r="15" spans="1:2">
      <c r="A15">
        <v>20.399999999999999</v>
      </c>
      <c r="B15">
        <f t="shared" si="0"/>
        <v>20400</v>
      </c>
    </row>
    <row r="16" spans="1:2">
      <c r="A16">
        <v>18.2</v>
      </c>
      <c r="B16">
        <f t="shared" si="0"/>
        <v>18200</v>
      </c>
    </row>
    <row r="17" spans="1:4">
      <c r="A17">
        <v>19.899999999999999</v>
      </c>
      <c r="B17">
        <f t="shared" si="0"/>
        <v>19900</v>
      </c>
    </row>
    <row r="18" spans="1:4">
      <c r="A18">
        <v>23.1</v>
      </c>
      <c r="B18">
        <f t="shared" si="0"/>
        <v>23100</v>
      </c>
    </row>
    <row r="19" spans="1:4">
      <c r="A19">
        <v>17.5</v>
      </c>
      <c r="B19">
        <f t="shared" si="0"/>
        <v>17500</v>
      </c>
    </row>
    <row r="20" spans="1:4">
      <c r="A20">
        <v>20.2</v>
      </c>
      <c r="B20">
        <f t="shared" si="0"/>
        <v>20200</v>
      </c>
      <c r="D20" s="14" t="s">
        <v>50</v>
      </c>
    </row>
    <row r="21" spans="1:4">
      <c r="A21">
        <v>18.2</v>
      </c>
      <c r="B21">
        <f t="shared" si="0"/>
        <v>18200</v>
      </c>
      <c r="D21" t="s">
        <v>51</v>
      </c>
    </row>
    <row r="22" spans="1:4">
      <c r="A22">
        <v>13.6</v>
      </c>
      <c r="B22">
        <f t="shared" si="0"/>
        <v>13600</v>
      </c>
    </row>
    <row r="23" spans="1:4">
      <c r="A23">
        <v>19.600000000000001</v>
      </c>
      <c r="B23">
        <f t="shared" si="0"/>
        <v>19600</v>
      </c>
    </row>
    <row r="24" spans="1:4">
      <c r="A24">
        <v>15.2</v>
      </c>
      <c r="B24">
        <f t="shared" si="0"/>
        <v>15200</v>
      </c>
    </row>
    <row r="25" spans="1:4">
      <c r="A25">
        <v>14.5</v>
      </c>
      <c r="B25">
        <f t="shared" si="0"/>
        <v>14500</v>
      </c>
    </row>
    <row r="26" spans="1:4">
      <c r="A26">
        <v>15.6</v>
      </c>
      <c r="B26">
        <f t="shared" si="0"/>
        <v>15600</v>
      </c>
    </row>
    <row r="27" spans="1:4">
      <c r="A27">
        <v>13.9</v>
      </c>
      <c r="B27">
        <f t="shared" si="0"/>
        <v>13900</v>
      </c>
    </row>
    <row r="28" spans="1:4">
      <c r="A28">
        <v>16.600000000000001</v>
      </c>
      <c r="B28">
        <f t="shared" si="0"/>
        <v>16600</v>
      </c>
    </row>
    <row r="29" spans="1:4">
      <c r="A29">
        <v>14.8</v>
      </c>
      <c r="B29">
        <f t="shared" si="0"/>
        <v>14800</v>
      </c>
    </row>
    <row r="30" spans="1:4">
      <c r="A30">
        <v>18.399999999999999</v>
      </c>
      <c r="B30">
        <f t="shared" si="0"/>
        <v>18400</v>
      </c>
    </row>
    <row r="31" spans="1:4">
      <c r="A31">
        <v>21</v>
      </c>
      <c r="B31">
        <f t="shared" si="0"/>
        <v>21000</v>
      </c>
    </row>
    <row r="32" spans="1:4">
      <c r="A32">
        <v>12.7</v>
      </c>
      <c r="B32">
        <f t="shared" si="0"/>
        <v>12700</v>
      </c>
    </row>
    <row r="33" spans="1:2">
      <c r="A33">
        <v>14.5</v>
      </c>
      <c r="B33">
        <f t="shared" si="0"/>
        <v>14500</v>
      </c>
    </row>
    <row r="34" spans="1:2">
      <c r="A34">
        <v>13.2</v>
      </c>
      <c r="B34">
        <f t="shared" si="0"/>
        <v>13200</v>
      </c>
    </row>
    <row r="35" spans="1:2">
      <c r="A35">
        <v>13.1</v>
      </c>
      <c r="B35">
        <f t="shared" si="0"/>
        <v>13100</v>
      </c>
    </row>
    <row r="36" spans="1:2">
      <c r="A36">
        <v>13.5</v>
      </c>
      <c r="B36">
        <f t="shared" si="0"/>
        <v>13500</v>
      </c>
    </row>
    <row r="37" spans="1:2">
      <c r="A37">
        <v>18.899999999999999</v>
      </c>
      <c r="B37">
        <f t="shared" si="0"/>
        <v>18900</v>
      </c>
    </row>
    <row r="38" spans="1:2">
      <c r="A38">
        <v>20</v>
      </c>
      <c r="B38">
        <f t="shared" si="0"/>
        <v>20000</v>
      </c>
    </row>
    <row r="39" spans="1:2">
      <c r="A39">
        <v>21</v>
      </c>
      <c r="B39">
        <f t="shared" si="0"/>
        <v>21000</v>
      </c>
    </row>
    <row r="40" spans="1:2">
      <c r="A40">
        <v>24.7</v>
      </c>
      <c r="B40">
        <f t="shared" si="0"/>
        <v>24700</v>
      </c>
    </row>
    <row r="41" spans="1:2">
      <c r="A41">
        <v>30.8</v>
      </c>
      <c r="B41">
        <f t="shared" si="0"/>
        <v>30800</v>
      </c>
    </row>
    <row r="42" spans="1:2">
      <c r="A42">
        <v>34.9</v>
      </c>
      <c r="B42">
        <f t="shared" si="0"/>
        <v>34900</v>
      </c>
    </row>
    <row r="43" spans="1:2">
      <c r="A43">
        <v>26.6</v>
      </c>
      <c r="B43">
        <f t="shared" si="0"/>
        <v>26600</v>
      </c>
    </row>
    <row r="44" spans="1:2">
      <c r="A44">
        <v>25.3</v>
      </c>
      <c r="B44">
        <f t="shared" si="0"/>
        <v>25300</v>
      </c>
    </row>
    <row r="45" spans="1:2">
      <c r="A45">
        <v>24.7</v>
      </c>
      <c r="B45">
        <f t="shared" si="0"/>
        <v>24700</v>
      </c>
    </row>
    <row r="46" spans="1:2">
      <c r="A46">
        <v>21.2</v>
      </c>
      <c r="B46">
        <f t="shared" si="0"/>
        <v>21200</v>
      </c>
    </row>
    <row r="47" spans="1:2">
      <c r="A47">
        <v>19.3</v>
      </c>
      <c r="B47">
        <f t="shared" si="0"/>
        <v>19300</v>
      </c>
    </row>
    <row r="48" spans="1:2">
      <c r="A48">
        <v>20</v>
      </c>
      <c r="B48">
        <f t="shared" si="0"/>
        <v>20000</v>
      </c>
    </row>
    <row r="49" spans="1:2">
      <c r="A49">
        <v>16.600000000000001</v>
      </c>
      <c r="B49">
        <f t="shared" si="0"/>
        <v>16600</v>
      </c>
    </row>
    <row r="50" spans="1:2">
      <c r="A50">
        <v>14.4</v>
      </c>
      <c r="B50">
        <f t="shared" si="0"/>
        <v>14400</v>
      </c>
    </row>
    <row r="51" spans="1:2">
      <c r="A51">
        <v>19.399999999999999</v>
      </c>
      <c r="B51">
        <f t="shared" si="0"/>
        <v>19400</v>
      </c>
    </row>
    <row r="52" spans="1:2">
      <c r="A52">
        <v>19.7</v>
      </c>
      <c r="B52">
        <f t="shared" si="0"/>
        <v>19700</v>
      </c>
    </row>
    <row r="53" spans="1:2">
      <c r="A53">
        <v>20.5</v>
      </c>
      <c r="B53">
        <f t="shared" si="0"/>
        <v>20500</v>
      </c>
    </row>
    <row r="54" spans="1:2">
      <c r="A54">
        <v>25</v>
      </c>
      <c r="B54">
        <f t="shared" si="0"/>
        <v>25000</v>
      </c>
    </row>
    <row r="55" spans="1:2">
      <c r="A55">
        <v>23.4</v>
      </c>
      <c r="B55">
        <f t="shared" si="0"/>
        <v>23400</v>
      </c>
    </row>
    <row r="56" spans="1:2">
      <c r="A56">
        <v>18.899999999999999</v>
      </c>
      <c r="B56">
        <f t="shared" si="0"/>
        <v>18900</v>
      </c>
    </row>
    <row r="57" spans="1:2">
      <c r="A57">
        <v>35.4</v>
      </c>
      <c r="B57">
        <f t="shared" si="0"/>
        <v>35400</v>
      </c>
    </row>
    <row r="58" spans="1:2">
      <c r="A58">
        <v>24.7</v>
      </c>
      <c r="B58">
        <f t="shared" si="0"/>
        <v>24700</v>
      </c>
    </row>
    <row r="59" spans="1:2">
      <c r="A59">
        <v>31.6</v>
      </c>
      <c r="B59">
        <f t="shared" si="0"/>
        <v>31600</v>
      </c>
    </row>
    <row r="60" spans="1:2">
      <c r="A60">
        <v>23.3</v>
      </c>
      <c r="B60">
        <f t="shared" si="0"/>
        <v>23300</v>
      </c>
    </row>
    <row r="61" spans="1:2">
      <c r="A61">
        <v>19.600000000000001</v>
      </c>
      <c r="B61">
        <f t="shared" si="0"/>
        <v>19600</v>
      </c>
    </row>
    <row r="62" spans="1:2">
      <c r="A62">
        <v>18.7</v>
      </c>
      <c r="B62">
        <f t="shared" si="0"/>
        <v>18700</v>
      </c>
    </row>
    <row r="63" spans="1:2">
      <c r="A63">
        <v>16</v>
      </c>
      <c r="B63">
        <f t="shared" si="0"/>
        <v>16000</v>
      </c>
    </row>
    <row r="64" spans="1:2">
      <c r="A64">
        <v>22.2</v>
      </c>
      <c r="B64">
        <f t="shared" si="0"/>
        <v>22200</v>
      </c>
    </row>
    <row r="65" spans="1:2">
      <c r="A65">
        <v>25</v>
      </c>
      <c r="B65">
        <f t="shared" si="0"/>
        <v>25000</v>
      </c>
    </row>
    <row r="66" spans="1:2">
      <c r="A66">
        <v>33</v>
      </c>
      <c r="B66">
        <f t="shared" si="0"/>
        <v>33000</v>
      </c>
    </row>
    <row r="67" spans="1:2">
      <c r="A67">
        <v>23.5</v>
      </c>
      <c r="B67">
        <f t="shared" ref="B67:B130" si="1">A67*1000</f>
        <v>23500</v>
      </c>
    </row>
    <row r="68" spans="1:2">
      <c r="A68">
        <v>19.399999999999999</v>
      </c>
      <c r="B68">
        <f t="shared" si="1"/>
        <v>19400</v>
      </c>
    </row>
    <row r="69" spans="1:2">
      <c r="A69">
        <v>22</v>
      </c>
      <c r="B69">
        <f t="shared" si="1"/>
        <v>22000</v>
      </c>
    </row>
    <row r="70" spans="1:2">
      <c r="A70">
        <v>17.399999999999999</v>
      </c>
      <c r="B70">
        <f t="shared" si="1"/>
        <v>17400</v>
      </c>
    </row>
    <row r="71" spans="1:2">
      <c r="A71">
        <v>20.9</v>
      </c>
      <c r="B71">
        <f t="shared" si="1"/>
        <v>20900</v>
      </c>
    </row>
    <row r="72" spans="1:2">
      <c r="A72">
        <v>24.2</v>
      </c>
      <c r="B72">
        <f t="shared" si="1"/>
        <v>24200</v>
      </c>
    </row>
    <row r="73" spans="1:2">
      <c r="A73">
        <v>21.7</v>
      </c>
      <c r="B73">
        <f t="shared" si="1"/>
        <v>21700</v>
      </c>
    </row>
    <row r="74" spans="1:2">
      <c r="A74">
        <v>22.8</v>
      </c>
      <c r="B74">
        <f t="shared" si="1"/>
        <v>22800</v>
      </c>
    </row>
    <row r="75" spans="1:2">
      <c r="A75">
        <v>23.4</v>
      </c>
      <c r="B75">
        <f t="shared" si="1"/>
        <v>23400</v>
      </c>
    </row>
    <row r="76" spans="1:2">
      <c r="A76">
        <v>24.1</v>
      </c>
      <c r="B76">
        <f t="shared" si="1"/>
        <v>24100</v>
      </c>
    </row>
    <row r="77" spans="1:2">
      <c r="A77">
        <v>21.4</v>
      </c>
      <c r="B77">
        <f t="shared" si="1"/>
        <v>21400</v>
      </c>
    </row>
    <row r="78" spans="1:2">
      <c r="A78">
        <v>20</v>
      </c>
      <c r="B78">
        <f t="shared" si="1"/>
        <v>20000</v>
      </c>
    </row>
    <row r="79" spans="1:2">
      <c r="A79">
        <v>20.8</v>
      </c>
      <c r="B79">
        <f t="shared" si="1"/>
        <v>20800</v>
      </c>
    </row>
    <row r="80" spans="1:2">
      <c r="A80">
        <v>21.2</v>
      </c>
      <c r="B80">
        <f t="shared" si="1"/>
        <v>21200</v>
      </c>
    </row>
    <row r="81" spans="1:2">
      <c r="A81">
        <v>20.3</v>
      </c>
      <c r="B81">
        <f t="shared" si="1"/>
        <v>20300</v>
      </c>
    </row>
    <row r="82" spans="1:2">
      <c r="A82">
        <v>28</v>
      </c>
      <c r="B82">
        <f t="shared" si="1"/>
        <v>28000</v>
      </c>
    </row>
    <row r="83" spans="1:2">
      <c r="A83">
        <v>23.9</v>
      </c>
      <c r="B83">
        <f t="shared" si="1"/>
        <v>23900</v>
      </c>
    </row>
    <row r="84" spans="1:2">
      <c r="A84">
        <v>24.8</v>
      </c>
      <c r="B84">
        <f t="shared" si="1"/>
        <v>24800</v>
      </c>
    </row>
    <row r="85" spans="1:2">
      <c r="A85">
        <v>22.9</v>
      </c>
      <c r="B85">
        <f t="shared" si="1"/>
        <v>22900</v>
      </c>
    </row>
    <row r="86" spans="1:2">
      <c r="A86">
        <v>23.9</v>
      </c>
      <c r="B86">
        <f t="shared" si="1"/>
        <v>23900</v>
      </c>
    </row>
    <row r="87" spans="1:2">
      <c r="A87">
        <v>26.6</v>
      </c>
      <c r="B87">
        <f t="shared" si="1"/>
        <v>26600</v>
      </c>
    </row>
    <row r="88" spans="1:2">
      <c r="A88">
        <v>22.5</v>
      </c>
      <c r="B88">
        <f t="shared" si="1"/>
        <v>22500</v>
      </c>
    </row>
    <row r="89" spans="1:2">
      <c r="A89">
        <v>22.2</v>
      </c>
      <c r="B89">
        <f t="shared" si="1"/>
        <v>22200</v>
      </c>
    </row>
    <row r="90" spans="1:2">
      <c r="A90">
        <v>23.6</v>
      </c>
      <c r="B90">
        <f t="shared" si="1"/>
        <v>23600</v>
      </c>
    </row>
    <row r="91" spans="1:2">
      <c r="A91">
        <v>28.7</v>
      </c>
      <c r="B91">
        <f t="shared" si="1"/>
        <v>28700</v>
      </c>
    </row>
    <row r="92" spans="1:2">
      <c r="A92">
        <v>22.6</v>
      </c>
      <c r="B92">
        <f t="shared" si="1"/>
        <v>22600</v>
      </c>
    </row>
    <row r="93" spans="1:2">
      <c r="A93">
        <v>22</v>
      </c>
      <c r="B93">
        <f t="shared" si="1"/>
        <v>22000</v>
      </c>
    </row>
    <row r="94" spans="1:2">
      <c r="A94">
        <v>22.9</v>
      </c>
      <c r="B94">
        <f t="shared" si="1"/>
        <v>22900</v>
      </c>
    </row>
    <row r="95" spans="1:2">
      <c r="A95">
        <v>25</v>
      </c>
      <c r="B95">
        <f t="shared" si="1"/>
        <v>25000</v>
      </c>
    </row>
    <row r="96" spans="1:2">
      <c r="A96">
        <v>20.6</v>
      </c>
      <c r="B96">
        <f t="shared" si="1"/>
        <v>20600</v>
      </c>
    </row>
    <row r="97" spans="1:2">
      <c r="A97">
        <v>28.4</v>
      </c>
      <c r="B97">
        <f t="shared" si="1"/>
        <v>28400</v>
      </c>
    </row>
    <row r="98" spans="1:2">
      <c r="A98">
        <v>21.4</v>
      </c>
      <c r="B98">
        <f t="shared" si="1"/>
        <v>21400</v>
      </c>
    </row>
    <row r="99" spans="1:2">
      <c r="A99">
        <v>38.700000000000003</v>
      </c>
      <c r="B99">
        <f t="shared" si="1"/>
        <v>38700</v>
      </c>
    </row>
    <row r="100" spans="1:2">
      <c r="A100">
        <v>43.8</v>
      </c>
      <c r="B100">
        <f t="shared" si="1"/>
        <v>43800</v>
      </c>
    </row>
    <row r="101" spans="1:2">
      <c r="A101">
        <v>33.200000000000003</v>
      </c>
      <c r="B101">
        <f t="shared" si="1"/>
        <v>33200</v>
      </c>
    </row>
    <row r="102" spans="1:2">
      <c r="A102">
        <v>27.5</v>
      </c>
      <c r="B102">
        <f t="shared" si="1"/>
        <v>27500</v>
      </c>
    </row>
    <row r="103" spans="1:2">
      <c r="A103">
        <v>26.5</v>
      </c>
      <c r="B103">
        <f t="shared" si="1"/>
        <v>26500</v>
      </c>
    </row>
    <row r="104" spans="1:2">
      <c r="A104">
        <v>18.600000000000001</v>
      </c>
      <c r="B104">
        <f t="shared" si="1"/>
        <v>18600</v>
      </c>
    </row>
    <row r="105" spans="1:2">
      <c r="A105">
        <v>19.3</v>
      </c>
      <c r="B105">
        <f t="shared" si="1"/>
        <v>19300</v>
      </c>
    </row>
    <row r="106" spans="1:2">
      <c r="A106">
        <v>20.100000000000001</v>
      </c>
      <c r="B106">
        <f t="shared" si="1"/>
        <v>20100</v>
      </c>
    </row>
    <row r="107" spans="1:2">
      <c r="A107">
        <v>19.5</v>
      </c>
      <c r="B107">
        <f t="shared" si="1"/>
        <v>19500</v>
      </c>
    </row>
    <row r="108" spans="1:2">
      <c r="A108">
        <v>19.5</v>
      </c>
      <c r="B108">
        <f t="shared" si="1"/>
        <v>19500</v>
      </c>
    </row>
    <row r="109" spans="1:2">
      <c r="A109">
        <v>20.399999999999999</v>
      </c>
      <c r="B109">
        <f t="shared" si="1"/>
        <v>20400</v>
      </c>
    </row>
    <row r="110" spans="1:2">
      <c r="A110">
        <v>19.8</v>
      </c>
      <c r="B110">
        <f t="shared" si="1"/>
        <v>19800</v>
      </c>
    </row>
    <row r="111" spans="1:2">
      <c r="A111">
        <v>19.399999999999999</v>
      </c>
      <c r="B111">
        <f t="shared" si="1"/>
        <v>19400</v>
      </c>
    </row>
    <row r="112" spans="1:2">
      <c r="A112">
        <v>21.7</v>
      </c>
      <c r="B112">
        <f t="shared" si="1"/>
        <v>21700</v>
      </c>
    </row>
    <row r="113" spans="1:2">
      <c r="A113">
        <v>22.8</v>
      </c>
      <c r="B113">
        <f t="shared" si="1"/>
        <v>22800</v>
      </c>
    </row>
    <row r="114" spans="1:2">
      <c r="A114">
        <v>18.8</v>
      </c>
      <c r="B114">
        <f t="shared" si="1"/>
        <v>18800</v>
      </c>
    </row>
    <row r="115" spans="1:2">
      <c r="A115">
        <v>18.7</v>
      </c>
      <c r="B115">
        <f t="shared" si="1"/>
        <v>18700</v>
      </c>
    </row>
    <row r="116" spans="1:2">
      <c r="A116">
        <v>18.5</v>
      </c>
      <c r="B116">
        <f t="shared" si="1"/>
        <v>18500</v>
      </c>
    </row>
    <row r="117" spans="1:2">
      <c r="A117">
        <v>18.3</v>
      </c>
      <c r="B117">
        <f t="shared" si="1"/>
        <v>18300</v>
      </c>
    </row>
    <row r="118" spans="1:2">
      <c r="A118">
        <v>21.2</v>
      </c>
      <c r="B118">
        <f t="shared" si="1"/>
        <v>21200</v>
      </c>
    </row>
    <row r="119" spans="1:2">
      <c r="A119">
        <v>19.2</v>
      </c>
      <c r="B119">
        <f t="shared" si="1"/>
        <v>19200</v>
      </c>
    </row>
    <row r="120" spans="1:2">
      <c r="A120">
        <v>20.399999999999999</v>
      </c>
      <c r="B120">
        <f t="shared" si="1"/>
        <v>20400</v>
      </c>
    </row>
    <row r="121" spans="1:2">
      <c r="A121">
        <v>19.3</v>
      </c>
      <c r="B121">
        <f t="shared" si="1"/>
        <v>19300</v>
      </c>
    </row>
    <row r="122" spans="1:2">
      <c r="A122">
        <v>22</v>
      </c>
      <c r="B122">
        <f t="shared" si="1"/>
        <v>22000</v>
      </c>
    </row>
    <row r="123" spans="1:2">
      <c r="A123">
        <v>20.3</v>
      </c>
      <c r="B123">
        <f t="shared" si="1"/>
        <v>20300</v>
      </c>
    </row>
    <row r="124" spans="1:2">
      <c r="A124">
        <v>20.5</v>
      </c>
      <c r="B124">
        <f t="shared" si="1"/>
        <v>20500</v>
      </c>
    </row>
    <row r="125" spans="1:2">
      <c r="A125">
        <v>17.3</v>
      </c>
      <c r="B125">
        <f t="shared" si="1"/>
        <v>17300</v>
      </c>
    </row>
    <row r="126" spans="1:2">
      <c r="A126">
        <v>18.8</v>
      </c>
      <c r="B126">
        <f t="shared" si="1"/>
        <v>18800</v>
      </c>
    </row>
    <row r="127" spans="1:2">
      <c r="A127">
        <v>21.4</v>
      </c>
      <c r="B127">
        <f t="shared" si="1"/>
        <v>21400</v>
      </c>
    </row>
    <row r="128" spans="1:2">
      <c r="A128">
        <v>15.7</v>
      </c>
      <c r="B128">
        <f t="shared" si="1"/>
        <v>15700</v>
      </c>
    </row>
    <row r="129" spans="1:2">
      <c r="A129">
        <v>16.2</v>
      </c>
      <c r="B129">
        <f t="shared" si="1"/>
        <v>16200</v>
      </c>
    </row>
    <row r="130" spans="1:2">
      <c r="A130">
        <v>18</v>
      </c>
      <c r="B130">
        <f t="shared" si="1"/>
        <v>18000</v>
      </c>
    </row>
    <row r="131" spans="1:2">
      <c r="A131">
        <v>14.3</v>
      </c>
      <c r="B131">
        <f t="shared" ref="B131:B194" si="2">A131*1000</f>
        <v>14300</v>
      </c>
    </row>
    <row r="132" spans="1:2">
      <c r="A132">
        <v>19.2</v>
      </c>
      <c r="B132">
        <f t="shared" si="2"/>
        <v>19200</v>
      </c>
    </row>
    <row r="133" spans="1:2">
      <c r="A133">
        <v>19.600000000000001</v>
      </c>
      <c r="B133">
        <f t="shared" si="2"/>
        <v>19600</v>
      </c>
    </row>
    <row r="134" spans="1:2">
      <c r="A134">
        <v>23</v>
      </c>
      <c r="B134">
        <f t="shared" si="2"/>
        <v>23000</v>
      </c>
    </row>
    <row r="135" spans="1:2">
      <c r="A135">
        <v>18.399999999999999</v>
      </c>
      <c r="B135">
        <f t="shared" si="2"/>
        <v>18400</v>
      </c>
    </row>
    <row r="136" spans="1:2">
      <c r="A136">
        <v>15.6</v>
      </c>
      <c r="B136">
        <f t="shared" si="2"/>
        <v>15600</v>
      </c>
    </row>
    <row r="137" spans="1:2">
      <c r="A137">
        <v>18.100000000000001</v>
      </c>
      <c r="B137">
        <f t="shared" si="2"/>
        <v>18100</v>
      </c>
    </row>
    <row r="138" spans="1:2">
      <c r="A138">
        <v>17.399999999999999</v>
      </c>
      <c r="B138">
        <f t="shared" si="2"/>
        <v>17400</v>
      </c>
    </row>
    <row r="139" spans="1:2">
      <c r="A139">
        <v>17.100000000000001</v>
      </c>
      <c r="B139">
        <f t="shared" si="2"/>
        <v>17100</v>
      </c>
    </row>
    <row r="140" spans="1:2">
      <c r="A140">
        <v>13.3</v>
      </c>
      <c r="B140">
        <f t="shared" si="2"/>
        <v>13300</v>
      </c>
    </row>
    <row r="141" spans="1:2">
      <c r="A141">
        <v>17.8</v>
      </c>
      <c r="B141">
        <f t="shared" si="2"/>
        <v>17800</v>
      </c>
    </row>
    <row r="142" spans="1:2">
      <c r="A142">
        <v>14</v>
      </c>
      <c r="B142">
        <f t="shared" si="2"/>
        <v>14000</v>
      </c>
    </row>
    <row r="143" spans="1:2">
      <c r="A143">
        <v>14.4</v>
      </c>
      <c r="B143">
        <f t="shared" si="2"/>
        <v>14400</v>
      </c>
    </row>
    <row r="144" spans="1:2">
      <c r="A144">
        <v>13.4</v>
      </c>
      <c r="B144">
        <f t="shared" si="2"/>
        <v>13400</v>
      </c>
    </row>
    <row r="145" spans="1:2">
      <c r="A145">
        <v>15.6</v>
      </c>
      <c r="B145">
        <f t="shared" si="2"/>
        <v>15600</v>
      </c>
    </row>
    <row r="146" spans="1:2">
      <c r="A146">
        <v>11.8</v>
      </c>
      <c r="B146">
        <f t="shared" si="2"/>
        <v>11800</v>
      </c>
    </row>
    <row r="147" spans="1:2">
      <c r="A147">
        <v>13.8</v>
      </c>
      <c r="B147">
        <f t="shared" si="2"/>
        <v>13800</v>
      </c>
    </row>
    <row r="148" spans="1:2">
      <c r="A148">
        <v>15.6</v>
      </c>
      <c r="B148">
        <f t="shared" si="2"/>
        <v>15600</v>
      </c>
    </row>
    <row r="149" spans="1:2">
      <c r="A149">
        <v>14.6</v>
      </c>
      <c r="B149">
        <f t="shared" si="2"/>
        <v>14600</v>
      </c>
    </row>
    <row r="150" spans="1:2">
      <c r="A150">
        <v>17.8</v>
      </c>
      <c r="B150">
        <f t="shared" si="2"/>
        <v>17800</v>
      </c>
    </row>
    <row r="151" spans="1:2">
      <c r="A151">
        <v>15.4</v>
      </c>
      <c r="B151">
        <f t="shared" si="2"/>
        <v>15400</v>
      </c>
    </row>
    <row r="152" spans="1:2">
      <c r="A152">
        <v>21.5</v>
      </c>
      <c r="B152">
        <f t="shared" si="2"/>
        <v>21500</v>
      </c>
    </row>
    <row r="153" spans="1:2">
      <c r="A153">
        <v>19.600000000000001</v>
      </c>
      <c r="B153">
        <f t="shared" si="2"/>
        <v>19600</v>
      </c>
    </row>
    <row r="154" spans="1:2">
      <c r="A154">
        <v>15.3</v>
      </c>
      <c r="B154">
        <f t="shared" si="2"/>
        <v>15300</v>
      </c>
    </row>
    <row r="155" spans="1:2">
      <c r="A155">
        <v>19.399999999999999</v>
      </c>
      <c r="B155">
        <f t="shared" si="2"/>
        <v>19400</v>
      </c>
    </row>
    <row r="156" spans="1:2">
      <c r="A156">
        <v>17</v>
      </c>
      <c r="B156">
        <f t="shared" si="2"/>
        <v>17000</v>
      </c>
    </row>
    <row r="157" spans="1:2">
      <c r="A157">
        <v>15.6</v>
      </c>
      <c r="B157">
        <f t="shared" si="2"/>
        <v>15600</v>
      </c>
    </row>
    <row r="158" spans="1:2">
      <c r="A158">
        <v>13.1</v>
      </c>
      <c r="B158">
        <f t="shared" si="2"/>
        <v>13100</v>
      </c>
    </row>
    <row r="159" spans="1:2">
      <c r="A159">
        <v>41.3</v>
      </c>
      <c r="B159">
        <f t="shared" si="2"/>
        <v>41300</v>
      </c>
    </row>
    <row r="160" spans="1:2">
      <c r="A160">
        <v>24.3</v>
      </c>
      <c r="B160">
        <f t="shared" si="2"/>
        <v>24300</v>
      </c>
    </row>
    <row r="161" spans="1:2">
      <c r="A161">
        <v>23.3</v>
      </c>
      <c r="B161">
        <f t="shared" si="2"/>
        <v>23300</v>
      </c>
    </row>
    <row r="162" spans="1:2">
      <c r="A162">
        <v>27</v>
      </c>
      <c r="B162">
        <f t="shared" si="2"/>
        <v>27000</v>
      </c>
    </row>
    <row r="163" spans="1:2">
      <c r="A163">
        <v>50</v>
      </c>
      <c r="B163">
        <f t="shared" si="2"/>
        <v>50000</v>
      </c>
    </row>
    <row r="164" spans="1:2">
      <c r="A164">
        <v>50</v>
      </c>
      <c r="B164">
        <f t="shared" si="2"/>
        <v>50000</v>
      </c>
    </row>
    <row r="165" spans="1:2">
      <c r="A165">
        <v>50</v>
      </c>
      <c r="B165">
        <f t="shared" si="2"/>
        <v>50000</v>
      </c>
    </row>
    <row r="166" spans="1:2">
      <c r="A166">
        <v>22.7</v>
      </c>
      <c r="B166">
        <f t="shared" si="2"/>
        <v>22700</v>
      </c>
    </row>
    <row r="167" spans="1:2">
      <c r="A167">
        <v>25</v>
      </c>
      <c r="B167">
        <f t="shared" si="2"/>
        <v>25000</v>
      </c>
    </row>
    <row r="168" spans="1:2">
      <c r="A168">
        <v>50</v>
      </c>
      <c r="B168">
        <f t="shared" si="2"/>
        <v>50000</v>
      </c>
    </row>
    <row r="169" spans="1:2">
      <c r="A169">
        <v>23.8</v>
      </c>
      <c r="B169">
        <f t="shared" si="2"/>
        <v>23800</v>
      </c>
    </row>
    <row r="170" spans="1:2">
      <c r="A170">
        <v>23.8</v>
      </c>
      <c r="B170">
        <f t="shared" si="2"/>
        <v>23800</v>
      </c>
    </row>
    <row r="171" spans="1:2">
      <c r="A171">
        <v>22.3</v>
      </c>
      <c r="B171">
        <f t="shared" si="2"/>
        <v>22300</v>
      </c>
    </row>
    <row r="172" spans="1:2">
      <c r="A172">
        <v>17.399999999999999</v>
      </c>
      <c r="B172">
        <f t="shared" si="2"/>
        <v>17400</v>
      </c>
    </row>
    <row r="173" spans="1:2">
      <c r="A173">
        <v>19.100000000000001</v>
      </c>
      <c r="B173">
        <f t="shared" si="2"/>
        <v>19100</v>
      </c>
    </row>
    <row r="174" spans="1:2">
      <c r="A174">
        <v>23.1</v>
      </c>
      <c r="B174">
        <f t="shared" si="2"/>
        <v>23100</v>
      </c>
    </row>
    <row r="175" spans="1:2">
      <c r="A175">
        <v>23.6</v>
      </c>
      <c r="B175">
        <f t="shared" si="2"/>
        <v>23600</v>
      </c>
    </row>
    <row r="176" spans="1:2">
      <c r="A176">
        <v>22.6</v>
      </c>
      <c r="B176">
        <f t="shared" si="2"/>
        <v>22600</v>
      </c>
    </row>
    <row r="177" spans="1:2">
      <c r="A177">
        <v>29.4</v>
      </c>
      <c r="B177">
        <f t="shared" si="2"/>
        <v>29400</v>
      </c>
    </row>
    <row r="178" spans="1:2">
      <c r="A178">
        <v>23.2</v>
      </c>
      <c r="B178">
        <f t="shared" si="2"/>
        <v>23200</v>
      </c>
    </row>
    <row r="179" spans="1:2">
      <c r="A179">
        <v>24.6</v>
      </c>
      <c r="B179">
        <f t="shared" si="2"/>
        <v>24600</v>
      </c>
    </row>
    <row r="180" spans="1:2">
      <c r="A180">
        <v>29.9</v>
      </c>
      <c r="B180">
        <f t="shared" si="2"/>
        <v>29900</v>
      </c>
    </row>
    <row r="181" spans="1:2">
      <c r="A181">
        <v>37.200000000000003</v>
      </c>
      <c r="B181">
        <f t="shared" si="2"/>
        <v>37200</v>
      </c>
    </row>
    <row r="182" spans="1:2">
      <c r="A182">
        <v>39.799999999999997</v>
      </c>
      <c r="B182">
        <f t="shared" si="2"/>
        <v>39800</v>
      </c>
    </row>
    <row r="183" spans="1:2">
      <c r="A183">
        <v>36.200000000000003</v>
      </c>
      <c r="B183">
        <f t="shared" si="2"/>
        <v>36200</v>
      </c>
    </row>
    <row r="184" spans="1:2">
      <c r="A184">
        <v>37.9</v>
      </c>
      <c r="B184">
        <f t="shared" si="2"/>
        <v>37900</v>
      </c>
    </row>
    <row r="185" spans="1:2">
      <c r="A185">
        <v>32.5</v>
      </c>
      <c r="B185">
        <f t="shared" si="2"/>
        <v>32500</v>
      </c>
    </row>
    <row r="186" spans="1:2">
      <c r="A186">
        <v>26.4</v>
      </c>
      <c r="B186">
        <f t="shared" si="2"/>
        <v>26400</v>
      </c>
    </row>
    <row r="187" spans="1:2">
      <c r="A187">
        <v>29.6</v>
      </c>
      <c r="B187">
        <f t="shared" si="2"/>
        <v>29600</v>
      </c>
    </row>
    <row r="188" spans="1:2">
      <c r="A188">
        <v>50</v>
      </c>
      <c r="B188">
        <f t="shared" si="2"/>
        <v>50000</v>
      </c>
    </row>
    <row r="189" spans="1:2">
      <c r="A189">
        <v>32</v>
      </c>
      <c r="B189">
        <f t="shared" si="2"/>
        <v>32000</v>
      </c>
    </row>
    <row r="190" spans="1:2">
      <c r="A190">
        <v>29.8</v>
      </c>
      <c r="B190">
        <f t="shared" si="2"/>
        <v>29800</v>
      </c>
    </row>
    <row r="191" spans="1:2">
      <c r="A191">
        <v>34.9</v>
      </c>
      <c r="B191">
        <f t="shared" si="2"/>
        <v>34900</v>
      </c>
    </row>
    <row r="192" spans="1:2">
      <c r="A192">
        <v>37</v>
      </c>
      <c r="B192">
        <f t="shared" si="2"/>
        <v>37000</v>
      </c>
    </row>
    <row r="193" spans="1:2">
      <c r="A193">
        <v>30.5</v>
      </c>
      <c r="B193">
        <f t="shared" si="2"/>
        <v>30500</v>
      </c>
    </row>
    <row r="194" spans="1:2">
      <c r="A194">
        <v>36.4</v>
      </c>
      <c r="B194">
        <f t="shared" si="2"/>
        <v>36400</v>
      </c>
    </row>
    <row r="195" spans="1:2">
      <c r="A195">
        <v>31.1</v>
      </c>
      <c r="B195">
        <f t="shared" ref="B195:B258" si="3">A195*1000</f>
        <v>31100</v>
      </c>
    </row>
    <row r="196" spans="1:2">
      <c r="A196">
        <v>29.1</v>
      </c>
      <c r="B196">
        <f t="shared" si="3"/>
        <v>29100</v>
      </c>
    </row>
    <row r="197" spans="1:2">
      <c r="A197">
        <v>50</v>
      </c>
      <c r="B197">
        <f t="shared" si="3"/>
        <v>50000</v>
      </c>
    </row>
    <row r="198" spans="1:2">
      <c r="A198">
        <v>33.299999999999997</v>
      </c>
      <c r="B198">
        <f t="shared" si="3"/>
        <v>33300</v>
      </c>
    </row>
    <row r="199" spans="1:2">
      <c r="A199">
        <v>30.3</v>
      </c>
      <c r="B199">
        <f t="shared" si="3"/>
        <v>30300</v>
      </c>
    </row>
    <row r="200" spans="1:2">
      <c r="A200">
        <v>34.6</v>
      </c>
      <c r="B200">
        <f t="shared" si="3"/>
        <v>34600</v>
      </c>
    </row>
    <row r="201" spans="1:2">
      <c r="A201">
        <v>34.9</v>
      </c>
      <c r="B201">
        <f t="shared" si="3"/>
        <v>34900</v>
      </c>
    </row>
    <row r="202" spans="1:2">
      <c r="A202">
        <v>32.9</v>
      </c>
      <c r="B202">
        <f t="shared" si="3"/>
        <v>32900</v>
      </c>
    </row>
    <row r="203" spans="1:2">
      <c r="A203">
        <v>24.1</v>
      </c>
      <c r="B203">
        <f t="shared" si="3"/>
        <v>24100</v>
      </c>
    </row>
    <row r="204" spans="1:2">
      <c r="A204">
        <v>42.3</v>
      </c>
      <c r="B204">
        <f t="shared" si="3"/>
        <v>42300</v>
      </c>
    </row>
    <row r="205" spans="1:2">
      <c r="A205">
        <v>48.5</v>
      </c>
      <c r="B205">
        <f t="shared" si="3"/>
        <v>48500</v>
      </c>
    </row>
    <row r="206" spans="1:2">
      <c r="A206">
        <v>50</v>
      </c>
      <c r="B206">
        <f t="shared" si="3"/>
        <v>50000</v>
      </c>
    </row>
    <row r="207" spans="1:2">
      <c r="A207">
        <v>22.6</v>
      </c>
      <c r="B207">
        <f t="shared" si="3"/>
        <v>22600</v>
      </c>
    </row>
    <row r="208" spans="1:2">
      <c r="A208">
        <v>24.4</v>
      </c>
      <c r="B208">
        <f t="shared" si="3"/>
        <v>24400</v>
      </c>
    </row>
    <row r="209" spans="1:2">
      <c r="A209">
        <v>22.5</v>
      </c>
      <c r="B209">
        <f t="shared" si="3"/>
        <v>22500</v>
      </c>
    </row>
    <row r="210" spans="1:2">
      <c r="A210">
        <v>24.4</v>
      </c>
      <c r="B210">
        <f t="shared" si="3"/>
        <v>24400</v>
      </c>
    </row>
    <row r="211" spans="1:2">
      <c r="A211">
        <v>20</v>
      </c>
      <c r="B211">
        <f t="shared" si="3"/>
        <v>20000</v>
      </c>
    </row>
    <row r="212" spans="1:2">
      <c r="A212">
        <v>21.7</v>
      </c>
      <c r="B212">
        <f t="shared" si="3"/>
        <v>21700</v>
      </c>
    </row>
    <row r="213" spans="1:2">
      <c r="A213">
        <v>19.3</v>
      </c>
      <c r="B213">
        <f t="shared" si="3"/>
        <v>19300</v>
      </c>
    </row>
    <row r="214" spans="1:2">
      <c r="A214">
        <v>22.4</v>
      </c>
      <c r="B214">
        <f t="shared" si="3"/>
        <v>22400</v>
      </c>
    </row>
    <row r="215" spans="1:2">
      <c r="A215">
        <v>28.1</v>
      </c>
      <c r="B215">
        <f t="shared" si="3"/>
        <v>28100</v>
      </c>
    </row>
    <row r="216" spans="1:2">
      <c r="A216">
        <v>23.7</v>
      </c>
      <c r="B216">
        <f t="shared" si="3"/>
        <v>23700</v>
      </c>
    </row>
    <row r="217" spans="1:2">
      <c r="A217">
        <v>25</v>
      </c>
      <c r="B217">
        <f t="shared" si="3"/>
        <v>25000</v>
      </c>
    </row>
    <row r="218" spans="1:2">
      <c r="A218">
        <v>23.3</v>
      </c>
      <c r="B218">
        <f t="shared" si="3"/>
        <v>23300</v>
      </c>
    </row>
    <row r="219" spans="1:2">
      <c r="A219">
        <v>28.7</v>
      </c>
      <c r="B219">
        <f t="shared" si="3"/>
        <v>28700</v>
      </c>
    </row>
    <row r="220" spans="1:2">
      <c r="A220">
        <v>21.5</v>
      </c>
      <c r="B220">
        <f t="shared" si="3"/>
        <v>21500</v>
      </c>
    </row>
    <row r="221" spans="1:2">
      <c r="A221">
        <v>23</v>
      </c>
      <c r="B221">
        <f t="shared" si="3"/>
        <v>23000</v>
      </c>
    </row>
    <row r="222" spans="1:2">
      <c r="A222">
        <v>26.7</v>
      </c>
      <c r="B222">
        <f t="shared" si="3"/>
        <v>26700</v>
      </c>
    </row>
    <row r="223" spans="1:2">
      <c r="A223">
        <v>21.7</v>
      </c>
      <c r="B223">
        <f t="shared" si="3"/>
        <v>21700</v>
      </c>
    </row>
    <row r="224" spans="1:2">
      <c r="A224">
        <v>27.5</v>
      </c>
      <c r="B224">
        <f t="shared" si="3"/>
        <v>27500</v>
      </c>
    </row>
    <row r="225" spans="1:2">
      <c r="A225">
        <v>30.1</v>
      </c>
      <c r="B225">
        <f t="shared" si="3"/>
        <v>30100</v>
      </c>
    </row>
    <row r="226" spans="1:2">
      <c r="A226">
        <v>44.8</v>
      </c>
      <c r="B226">
        <f t="shared" si="3"/>
        <v>44800</v>
      </c>
    </row>
    <row r="227" spans="1:2">
      <c r="A227">
        <v>50</v>
      </c>
      <c r="B227">
        <f t="shared" si="3"/>
        <v>50000</v>
      </c>
    </row>
    <row r="228" spans="1:2">
      <c r="A228">
        <v>37.6</v>
      </c>
      <c r="B228">
        <f t="shared" si="3"/>
        <v>37600</v>
      </c>
    </row>
    <row r="229" spans="1:2">
      <c r="A229">
        <v>31.6</v>
      </c>
      <c r="B229">
        <f t="shared" si="3"/>
        <v>31600</v>
      </c>
    </row>
    <row r="230" spans="1:2">
      <c r="A230">
        <v>46.7</v>
      </c>
      <c r="B230">
        <f t="shared" si="3"/>
        <v>46700</v>
      </c>
    </row>
    <row r="231" spans="1:2">
      <c r="A231">
        <v>31.5</v>
      </c>
      <c r="B231">
        <f t="shared" si="3"/>
        <v>31500</v>
      </c>
    </row>
    <row r="232" spans="1:2">
      <c r="A232">
        <v>24.3</v>
      </c>
      <c r="B232">
        <f t="shared" si="3"/>
        <v>24300</v>
      </c>
    </row>
    <row r="233" spans="1:2">
      <c r="A233">
        <v>31.7</v>
      </c>
      <c r="B233">
        <f t="shared" si="3"/>
        <v>31700</v>
      </c>
    </row>
    <row r="234" spans="1:2">
      <c r="A234">
        <v>41.7</v>
      </c>
      <c r="B234">
        <f t="shared" si="3"/>
        <v>41700</v>
      </c>
    </row>
    <row r="235" spans="1:2">
      <c r="A235">
        <v>48.3</v>
      </c>
      <c r="B235">
        <f t="shared" si="3"/>
        <v>48300</v>
      </c>
    </row>
    <row r="236" spans="1:2">
      <c r="A236">
        <v>29</v>
      </c>
      <c r="B236">
        <f t="shared" si="3"/>
        <v>29000</v>
      </c>
    </row>
    <row r="237" spans="1:2">
      <c r="A237">
        <v>24</v>
      </c>
      <c r="B237">
        <f t="shared" si="3"/>
        <v>24000</v>
      </c>
    </row>
    <row r="238" spans="1:2">
      <c r="A238">
        <v>25.1</v>
      </c>
      <c r="B238">
        <f t="shared" si="3"/>
        <v>25100</v>
      </c>
    </row>
    <row r="239" spans="1:2">
      <c r="A239">
        <v>31.5</v>
      </c>
      <c r="B239">
        <f t="shared" si="3"/>
        <v>31500</v>
      </c>
    </row>
    <row r="240" spans="1:2">
      <c r="A240">
        <v>23.7</v>
      </c>
      <c r="B240">
        <f t="shared" si="3"/>
        <v>23700</v>
      </c>
    </row>
    <row r="241" spans="1:2">
      <c r="A241">
        <v>23.3</v>
      </c>
      <c r="B241">
        <f t="shared" si="3"/>
        <v>23300</v>
      </c>
    </row>
    <row r="242" spans="1:2">
      <c r="A242">
        <v>22</v>
      </c>
      <c r="B242">
        <f t="shared" si="3"/>
        <v>22000</v>
      </c>
    </row>
    <row r="243" spans="1:2">
      <c r="A243">
        <v>20.100000000000001</v>
      </c>
      <c r="B243">
        <f t="shared" si="3"/>
        <v>20100</v>
      </c>
    </row>
    <row r="244" spans="1:2">
      <c r="A244">
        <v>22.2</v>
      </c>
      <c r="B244">
        <f t="shared" si="3"/>
        <v>22200</v>
      </c>
    </row>
    <row r="245" spans="1:2">
      <c r="A245">
        <v>23.7</v>
      </c>
      <c r="B245">
        <f t="shared" si="3"/>
        <v>23700</v>
      </c>
    </row>
    <row r="246" spans="1:2">
      <c r="A246">
        <v>17.600000000000001</v>
      </c>
      <c r="B246">
        <f t="shared" si="3"/>
        <v>17600</v>
      </c>
    </row>
    <row r="247" spans="1:2">
      <c r="A247">
        <v>18.5</v>
      </c>
      <c r="B247">
        <f t="shared" si="3"/>
        <v>18500</v>
      </c>
    </row>
    <row r="248" spans="1:2">
      <c r="A248">
        <v>24.3</v>
      </c>
      <c r="B248">
        <f t="shared" si="3"/>
        <v>24300</v>
      </c>
    </row>
    <row r="249" spans="1:2">
      <c r="A249">
        <v>20.5</v>
      </c>
      <c r="B249">
        <f t="shared" si="3"/>
        <v>20500</v>
      </c>
    </row>
    <row r="250" spans="1:2">
      <c r="A250">
        <v>24.5</v>
      </c>
      <c r="B250">
        <f t="shared" si="3"/>
        <v>24500</v>
      </c>
    </row>
    <row r="251" spans="1:2">
      <c r="A251">
        <v>26.2</v>
      </c>
      <c r="B251">
        <f t="shared" si="3"/>
        <v>26200</v>
      </c>
    </row>
    <row r="252" spans="1:2">
      <c r="A252">
        <v>24.4</v>
      </c>
      <c r="B252">
        <f t="shared" si="3"/>
        <v>24400</v>
      </c>
    </row>
    <row r="253" spans="1:2">
      <c r="A253">
        <v>24.8</v>
      </c>
      <c r="B253">
        <f t="shared" si="3"/>
        <v>24800</v>
      </c>
    </row>
    <row r="254" spans="1:2">
      <c r="A254">
        <v>29.6</v>
      </c>
      <c r="B254">
        <f t="shared" si="3"/>
        <v>29600</v>
      </c>
    </row>
    <row r="255" spans="1:2">
      <c r="A255">
        <v>42.8</v>
      </c>
      <c r="B255">
        <f t="shared" si="3"/>
        <v>42800</v>
      </c>
    </row>
    <row r="256" spans="1:2">
      <c r="A256">
        <v>21.9</v>
      </c>
      <c r="B256">
        <f t="shared" si="3"/>
        <v>21900</v>
      </c>
    </row>
    <row r="257" spans="1:2">
      <c r="A257">
        <v>20.9</v>
      </c>
      <c r="B257">
        <f t="shared" si="3"/>
        <v>20900</v>
      </c>
    </row>
    <row r="258" spans="1:2">
      <c r="A258">
        <v>44</v>
      </c>
      <c r="B258">
        <f t="shared" si="3"/>
        <v>44000</v>
      </c>
    </row>
    <row r="259" spans="1:2">
      <c r="A259">
        <v>50</v>
      </c>
      <c r="B259">
        <f t="shared" ref="B259:B322" si="4">A259*1000</f>
        <v>50000</v>
      </c>
    </row>
    <row r="260" spans="1:2">
      <c r="A260">
        <v>36</v>
      </c>
      <c r="B260">
        <f t="shared" si="4"/>
        <v>36000</v>
      </c>
    </row>
    <row r="261" spans="1:2">
      <c r="A261">
        <v>30.1</v>
      </c>
      <c r="B261">
        <f t="shared" si="4"/>
        <v>30100</v>
      </c>
    </row>
    <row r="262" spans="1:2">
      <c r="A262">
        <v>33.799999999999997</v>
      </c>
      <c r="B262">
        <f t="shared" si="4"/>
        <v>33800</v>
      </c>
    </row>
    <row r="263" spans="1:2">
      <c r="A263">
        <v>43.1</v>
      </c>
      <c r="B263">
        <f t="shared" si="4"/>
        <v>43100</v>
      </c>
    </row>
    <row r="264" spans="1:2">
      <c r="A264">
        <v>48.8</v>
      </c>
      <c r="B264">
        <f t="shared" si="4"/>
        <v>48800</v>
      </c>
    </row>
    <row r="265" spans="1:2">
      <c r="A265">
        <v>31</v>
      </c>
      <c r="B265">
        <f t="shared" si="4"/>
        <v>31000</v>
      </c>
    </row>
    <row r="266" spans="1:2">
      <c r="A266">
        <v>36.5</v>
      </c>
      <c r="B266">
        <f t="shared" si="4"/>
        <v>36500</v>
      </c>
    </row>
    <row r="267" spans="1:2">
      <c r="A267">
        <v>22.8</v>
      </c>
      <c r="B267">
        <f t="shared" si="4"/>
        <v>22800</v>
      </c>
    </row>
    <row r="268" spans="1:2">
      <c r="A268">
        <v>30.7</v>
      </c>
      <c r="B268">
        <f t="shared" si="4"/>
        <v>30700</v>
      </c>
    </row>
    <row r="269" spans="1:2">
      <c r="A269">
        <v>50</v>
      </c>
      <c r="B269">
        <f t="shared" si="4"/>
        <v>50000</v>
      </c>
    </row>
    <row r="270" spans="1:2">
      <c r="A270">
        <v>43.5</v>
      </c>
      <c r="B270">
        <f t="shared" si="4"/>
        <v>43500</v>
      </c>
    </row>
    <row r="271" spans="1:2">
      <c r="A271">
        <v>20.7</v>
      </c>
      <c r="B271">
        <f t="shared" si="4"/>
        <v>20700</v>
      </c>
    </row>
    <row r="272" spans="1:2">
      <c r="A272">
        <v>21.1</v>
      </c>
      <c r="B272">
        <f t="shared" si="4"/>
        <v>21100</v>
      </c>
    </row>
    <row r="273" spans="1:2">
      <c r="A273">
        <v>25.2</v>
      </c>
      <c r="B273">
        <f t="shared" si="4"/>
        <v>25200</v>
      </c>
    </row>
    <row r="274" spans="1:2">
      <c r="A274">
        <v>24.4</v>
      </c>
      <c r="B274">
        <f t="shared" si="4"/>
        <v>24400</v>
      </c>
    </row>
    <row r="275" spans="1:2">
      <c r="A275">
        <v>35.200000000000003</v>
      </c>
      <c r="B275">
        <f t="shared" si="4"/>
        <v>35200</v>
      </c>
    </row>
    <row r="276" spans="1:2">
      <c r="A276">
        <v>32.4</v>
      </c>
      <c r="B276">
        <f t="shared" si="4"/>
        <v>32400</v>
      </c>
    </row>
    <row r="277" spans="1:2">
      <c r="A277">
        <v>32</v>
      </c>
      <c r="B277">
        <f t="shared" si="4"/>
        <v>32000</v>
      </c>
    </row>
    <row r="278" spans="1:2">
      <c r="A278">
        <v>33.200000000000003</v>
      </c>
      <c r="B278">
        <f t="shared" si="4"/>
        <v>33200</v>
      </c>
    </row>
    <row r="279" spans="1:2">
      <c r="A279">
        <v>33.1</v>
      </c>
      <c r="B279">
        <f t="shared" si="4"/>
        <v>33100</v>
      </c>
    </row>
    <row r="280" spans="1:2">
      <c r="A280">
        <v>29.1</v>
      </c>
      <c r="B280">
        <f t="shared" si="4"/>
        <v>29100</v>
      </c>
    </row>
    <row r="281" spans="1:2">
      <c r="A281">
        <v>35.1</v>
      </c>
      <c r="B281">
        <f t="shared" si="4"/>
        <v>35100</v>
      </c>
    </row>
    <row r="282" spans="1:2">
      <c r="A282">
        <v>45.4</v>
      </c>
      <c r="B282">
        <f t="shared" si="4"/>
        <v>45400</v>
      </c>
    </row>
    <row r="283" spans="1:2">
      <c r="A283">
        <v>35.4</v>
      </c>
      <c r="B283">
        <f t="shared" si="4"/>
        <v>35400</v>
      </c>
    </row>
    <row r="284" spans="1:2">
      <c r="A284">
        <v>46</v>
      </c>
      <c r="B284">
        <f t="shared" si="4"/>
        <v>46000</v>
      </c>
    </row>
    <row r="285" spans="1:2">
      <c r="A285">
        <v>50</v>
      </c>
      <c r="B285">
        <f t="shared" si="4"/>
        <v>50000</v>
      </c>
    </row>
    <row r="286" spans="1:2">
      <c r="A286">
        <v>32.200000000000003</v>
      </c>
      <c r="B286">
        <f t="shared" si="4"/>
        <v>32200.000000000004</v>
      </c>
    </row>
    <row r="287" spans="1:2">
      <c r="A287">
        <v>22</v>
      </c>
      <c r="B287">
        <f t="shared" si="4"/>
        <v>22000</v>
      </c>
    </row>
    <row r="288" spans="1:2">
      <c r="A288">
        <v>20.100000000000001</v>
      </c>
      <c r="B288">
        <f t="shared" si="4"/>
        <v>20100</v>
      </c>
    </row>
    <row r="289" spans="1:2">
      <c r="A289">
        <v>23.2</v>
      </c>
      <c r="B289">
        <f t="shared" si="4"/>
        <v>23200</v>
      </c>
    </row>
    <row r="290" spans="1:2">
      <c r="A290">
        <v>22.3</v>
      </c>
      <c r="B290">
        <f t="shared" si="4"/>
        <v>22300</v>
      </c>
    </row>
    <row r="291" spans="1:2">
      <c r="A291">
        <v>24.8</v>
      </c>
      <c r="B291">
        <f t="shared" si="4"/>
        <v>24800</v>
      </c>
    </row>
    <row r="292" spans="1:2">
      <c r="A292">
        <v>28.5</v>
      </c>
      <c r="B292">
        <f t="shared" si="4"/>
        <v>28500</v>
      </c>
    </row>
    <row r="293" spans="1:2">
      <c r="A293">
        <v>37.299999999999997</v>
      </c>
      <c r="B293">
        <f t="shared" si="4"/>
        <v>37300</v>
      </c>
    </row>
    <row r="294" spans="1:2">
      <c r="A294">
        <v>27.9</v>
      </c>
      <c r="B294">
        <f t="shared" si="4"/>
        <v>27900</v>
      </c>
    </row>
    <row r="295" spans="1:2">
      <c r="A295">
        <v>23.9</v>
      </c>
      <c r="B295">
        <f t="shared" si="4"/>
        <v>23900</v>
      </c>
    </row>
    <row r="296" spans="1:2">
      <c r="A296">
        <v>21.7</v>
      </c>
      <c r="B296">
        <f t="shared" si="4"/>
        <v>21700</v>
      </c>
    </row>
    <row r="297" spans="1:2">
      <c r="A297">
        <v>28.6</v>
      </c>
      <c r="B297">
        <f t="shared" si="4"/>
        <v>28600</v>
      </c>
    </row>
    <row r="298" spans="1:2">
      <c r="A298">
        <v>27.1</v>
      </c>
      <c r="B298">
        <f t="shared" si="4"/>
        <v>27100</v>
      </c>
    </row>
    <row r="299" spans="1:2">
      <c r="A299">
        <v>20.3</v>
      </c>
      <c r="B299">
        <f t="shared" si="4"/>
        <v>20300</v>
      </c>
    </row>
    <row r="300" spans="1:2">
      <c r="A300">
        <v>22.5</v>
      </c>
      <c r="B300">
        <f t="shared" si="4"/>
        <v>22500</v>
      </c>
    </row>
    <row r="301" spans="1:2">
      <c r="A301">
        <v>29</v>
      </c>
      <c r="B301">
        <f t="shared" si="4"/>
        <v>29000</v>
      </c>
    </row>
    <row r="302" spans="1:2">
      <c r="A302">
        <v>24.8</v>
      </c>
      <c r="B302">
        <f t="shared" si="4"/>
        <v>24800</v>
      </c>
    </row>
    <row r="303" spans="1:2">
      <c r="A303">
        <v>22</v>
      </c>
      <c r="B303">
        <f t="shared" si="4"/>
        <v>22000</v>
      </c>
    </row>
    <row r="304" spans="1:2">
      <c r="A304">
        <v>26.4</v>
      </c>
      <c r="B304">
        <f t="shared" si="4"/>
        <v>26400</v>
      </c>
    </row>
    <row r="305" spans="1:2">
      <c r="A305">
        <v>33.1</v>
      </c>
      <c r="B305">
        <f t="shared" si="4"/>
        <v>33100</v>
      </c>
    </row>
    <row r="306" spans="1:2">
      <c r="A306">
        <v>36.1</v>
      </c>
      <c r="B306">
        <f t="shared" si="4"/>
        <v>36100</v>
      </c>
    </row>
    <row r="307" spans="1:2">
      <c r="A307">
        <v>28.4</v>
      </c>
      <c r="B307">
        <f t="shared" si="4"/>
        <v>28400</v>
      </c>
    </row>
    <row r="308" spans="1:2">
      <c r="A308">
        <v>33.4</v>
      </c>
      <c r="B308">
        <f t="shared" si="4"/>
        <v>33400</v>
      </c>
    </row>
    <row r="309" spans="1:2">
      <c r="A309">
        <v>28.2</v>
      </c>
      <c r="B309">
        <f t="shared" si="4"/>
        <v>28200</v>
      </c>
    </row>
    <row r="310" spans="1:2">
      <c r="A310">
        <v>22.8</v>
      </c>
      <c r="B310">
        <f t="shared" si="4"/>
        <v>22800</v>
      </c>
    </row>
    <row r="311" spans="1:2">
      <c r="A311">
        <v>20.3</v>
      </c>
      <c r="B311">
        <f t="shared" si="4"/>
        <v>20300</v>
      </c>
    </row>
    <row r="312" spans="1:2">
      <c r="A312">
        <v>16.100000000000001</v>
      </c>
      <c r="B312">
        <f t="shared" si="4"/>
        <v>16100.000000000002</v>
      </c>
    </row>
    <row r="313" spans="1:2">
      <c r="A313">
        <v>22.1</v>
      </c>
      <c r="B313">
        <f t="shared" si="4"/>
        <v>22100</v>
      </c>
    </row>
    <row r="314" spans="1:2">
      <c r="A314">
        <v>19.399999999999999</v>
      </c>
      <c r="B314">
        <f t="shared" si="4"/>
        <v>19400</v>
      </c>
    </row>
    <row r="315" spans="1:2">
      <c r="A315">
        <v>21.6</v>
      </c>
      <c r="B315">
        <f t="shared" si="4"/>
        <v>21600</v>
      </c>
    </row>
    <row r="316" spans="1:2">
      <c r="A316">
        <v>23.8</v>
      </c>
      <c r="B316">
        <f t="shared" si="4"/>
        <v>23800</v>
      </c>
    </row>
    <row r="317" spans="1:2">
      <c r="A317">
        <v>16.2</v>
      </c>
      <c r="B317">
        <f t="shared" si="4"/>
        <v>16200</v>
      </c>
    </row>
    <row r="318" spans="1:2">
      <c r="A318">
        <v>17.8</v>
      </c>
      <c r="B318">
        <f t="shared" si="4"/>
        <v>17800</v>
      </c>
    </row>
    <row r="319" spans="1:2">
      <c r="A319">
        <v>19.8</v>
      </c>
      <c r="B319">
        <f t="shared" si="4"/>
        <v>19800</v>
      </c>
    </row>
    <row r="320" spans="1:2">
      <c r="A320">
        <v>23.1</v>
      </c>
      <c r="B320">
        <f t="shared" si="4"/>
        <v>23100</v>
      </c>
    </row>
    <row r="321" spans="1:2">
      <c r="A321">
        <v>21</v>
      </c>
      <c r="B321">
        <f t="shared" si="4"/>
        <v>21000</v>
      </c>
    </row>
    <row r="322" spans="1:2">
      <c r="A322">
        <v>23.8</v>
      </c>
      <c r="B322">
        <f t="shared" si="4"/>
        <v>23800</v>
      </c>
    </row>
    <row r="323" spans="1:2">
      <c r="A323">
        <v>23.1</v>
      </c>
      <c r="B323">
        <f t="shared" ref="B323:B386" si="5">A323*1000</f>
        <v>23100</v>
      </c>
    </row>
    <row r="324" spans="1:2">
      <c r="A324">
        <v>20.399999999999999</v>
      </c>
      <c r="B324">
        <f t="shared" si="5"/>
        <v>20400</v>
      </c>
    </row>
    <row r="325" spans="1:2">
      <c r="A325">
        <v>18.5</v>
      </c>
      <c r="B325">
        <f t="shared" si="5"/>
        <v>18500</v>
      </c>
    </row>
    <row r="326" spans="1:2">
      <c r="A326">
        <v>25</v>
      </c>
      <c r="B326">
        <f t="shared" si="5"/>
        <v>25000</v>
      </c>
    </row>
    <row r="327" spans="1:2">
      <c r="A327">
        <v>24.6</v>
      </c>
      <c r="B327">
        <f t="shared" si="5"/>
        <v>24600</v>
      </c>
    </row>
    <row r="328" spans="1:2">
      <c r="A328">
        <v>23</v>
      </c>
      <c r="B328">
        <f t="shared" si="5"/>
        <v>23000</v>
      </c>
    </row>
    <row r="329" spans="1:2">
      <c r="A329">
        <v>22.2</v>
      </c>
      <c r="B329">
        <f t="shared" si="5"/>
        <v>22200</v>
      </c>
    </row>
    <row r="330" spans="1:2">
      <c r="A330">
        <v>19.3</v>
      </c>
      <c r="B330">
        <f t="shared" si="5"/>
        <v>19300</v>
      </c>
    </row>
    <row r="331" spans="1:2">
      <c r="A331">
        <v>22.6</v>
      </c>
      <c r="B331">
        <f t="shared" si="5"/>
        <v>22600</v>
      </c>
    </row>
    <row r="332" spans="1:2">
      <c r="A332">
        <v>19.8</v>
      </c>
      <c r="B332">
        <f t="shared" si="5"/>
        <v>19800</v>
      </c>
    </row>
    <row r="333" spans="1:2">
      <c r="A333">
        <v>17.100000000000001</v>
      </c>
      <c r="B333">
        <f t="shared" si="5"/>
        <v>17100</v>
      </c>
    </row>
    <row r="334" spans="1:2">
      <c r="A334">
        <v>19.399999999999999</v>
      </c>
      <c r="B334">
        <f t="shared" si="5"/>
        <v>19400</v>
      </c>
    </row>
    <row r="335" spans="1:2">
      <c r="A335">
        <v>22.2</v>
      </c>
      <c r="B335">
        <f t="shared" si="5"/>
        <v>22200</v>
      </c>
    </row>
    <row r="336" spans="1:2">
      <c r="A336">
        <v>20.7</v>
      </c>
      <c r="B336">
        <f t="shared" si="5"/>
        <v>20700</v>
      </c>
    </row>
    <row r="337" spans="1:2">
      <c r="A337">
        <v>21.1</v>
      </c>
      <c r="B337">
        <f t="shared" si="5"/>
        <v>21100</v>
      </c>
    </row>
    <row r="338" spans="1:2">
      <c r="A338">
        <v>19.5</v>
      </c>
      <c r="B338">
        <f t="shared" si="5"/>
        <v>19500</v>
      </c>
    </row>
    <row r="339" spans="1:2">
      <c r="A339">
        <v>18.5</v>
      </c>
      <c r="B339">
        <f t="shared" si="5"/>
        <v>18500</v>
      </c>
    </row>
    <row r="340" spans="1:2">
      <c r="A340">
        <v>20.6</v>
      </c>
      <c r="B340">
        <f t="shared" si="5"/>
        <v>20600</v>
      </c>
    </row>
    <row r="341" spans="1:2">
      <c r="A341">
        <v>19</v>
      </c>
      <c r="B341">
        <f t="shared" si="5"/>
        <v>19000</v>
      </c>
    </row>
    <row r="342" spans="1:2">
      <c r="A342">
        <v>18.7</v>
      </c>
      <c r="B342">
        <f t="shared" si="5"/>
        <v>18700</v>
      </c>
    </row>
    <row r="343" spans="1:2">
      <c r="A343">
        <v>32.700000000000003</v>
      </c>
      <c r="B343">
        <f t="shared" si="5"/>
        <v>32700.000000000004</v>
      </c>
    </row>
    <row r="344" spans="1:2">
      <c r="A344">
        <v>16.5</v>
      </c>
      <c r="B344">
        <f t="shared" si="5"/>
        <v>16500</v>
      </c>
    </row>
    <row r="345" spans="1:2">
      <c r="A345">
        <v>23.9</v>
      </c>
      <c r="B345">
        <f t="shared" si="5"/>
        <v>23900</v>
      </c>
    </row>
    <row r="346" spans="1:2">
      <c r="A346">
        <v>31.2</v>
      </c>
      <c r="B346">
        <f t="shared" si="5"/>
        <v>31200</v>
      </c>
    </row>
    <row r="347" spans="1:2">
      <c r="A347">
        <v>17.5</v>
      </c>
      <c r="B347">
        <f t="shared" si="5"/>
        <v>17500</v>
      </c>
    </row>
    <row r="348" spans="1:2">
      <c r="A348">
        <v>17.2</v>
      </c>
      <c r="B348">
        <f t="shared" si="5"/>
        <v>17200</v>
      </c>
    </row>
    <row r="349" spans="1:2">
      <c r="A349">
        <v>23.1</v>
      </c>
      <c r="B349">
        <f t="shared" si="5"/>
        <v>23100</v>
      </c>
    </row>
    <row r="350" spans="1:2">
      <c r="A350">
        <v>24.5</v>
      </c>
      <c r="B350">
        <f t="shared" si="5"/>
        <v>24500</v>
      </c>
    </row>
    <row r="351" spans="1:2">
      <c r="A351">
        <v>26.6</v>
      </c>
      <c r="B351">
        <f t="shared" si="5"/>
        <v>26600</v>
      </c>
    </row>
    <row r="352" spans="1:2">
      <c r="A352">
        <v>22.9</v>
      </c>
      <c r="B352">
        <f t="shared" si="5"/>
        <v>22900</v>
      </c>
    </row>
    <row r="353" spans="1:2">
      <c r="A353">
        <v>24.1</v>
      </c>
      <c r="B353">
        <f t="shared" si="5"/>
        <v>24100</v>
      </c>
    </row>
    <row r="354" spans="1:2">
      <c r="A354">
        <v>18.600000000000001</v>
      </c>
      <c r="B354">
        <f t="shared" si="5"/>
        <v>18600</v>
      </c>
    </row>
    <row r="355" spans="1:2">
      <c r="A355">
        <v>30.1</v>
      </c>
      <c r="B355">
        <f t="shared" si="5"/>
        <v>30100</v>
      </c>
    </row>
    <row r="356" spans="1:2">
      <c r="A356">
        <v>18.2</v>
      </c>
      <c r="B356">
        <f t="shared" si="5"/>
        <v>18200</v>
      </c>
    </row>
    <row r="357" spans="1:2">
      <c r="A357">
        <v>20.6</v>
      </c>
      <c r="B357">
        <f t="shared" si="5"/>
        <v>20600</v>
      </c>
    </row>
    <row r="358" spans="1:2">
      <c r="A358">
        <v>17.8</v>
      </c>
      <c r="B358">
        <f t="shared" si="5"/>
        <v>17800</v>
      </c>
    </row>
    <row r="359" spans="1:2">
      <c r="A359">
        <v>21.7</v>
      </c>
      <c r="B359">
        <f t="shared" si="5"/>
        <v>21700</v>
      </c>
    </row>
    <row r="360" spans="1:2">
      <c r="A360">
        <v>22.7</v>
      </c>
      <c r="B360">
        <f t="shared" si="5"/>
        <v>22700</v>
      </c>
    </row>
    <row r="361" spans="1:2">
      <c r="A361">
        <v>22.6</v>
      </c>
      <c r="B361">
        <f t="shared" si="5"/>
        <v>22600</v>
      </c>
    </row>
    <row r="362" spans="1:2">
      <c r="A362">
        <v>25</v>
      </c>
      <c r="B362">
        <f t="shared" si="5"/>
        <v>25000</v>
      </c>
    </row>
    <row r="363" spans="1:2">
      <c r="A363">
        <v>19.899999999999999</v>
      </c>
      <c r="B363">
        <f t="shared" si="5"/>
        <v>19900</v>
      </c>
    </row>
    <row r="364" spans="1:2">
      <c r="A364">
        <v>20.8</v>
      </c>
      <c r="B364">
        <f t="shared" si="5"/>
        <v>20800</v>
      </c>
    </row>
    <row r="365" spans="1:2">
      <c r="A365">
        <v>16.8</v>
      </c>
      <c r="B365">
        <f t="shared" si="5"/>
        <v>16800</v>
      </c>
    </row>
    <row r="366" spans="1:2">
      <c r="A366">
        <v>21.9</v>
      </c>
      <c r="B366">
        <f t="shared" si="5"/>
        <v>21900</v>
      </c>
    </row>
    <row r="367" spans="1:2">
      <c r="A367">
        <v>27.5</v>
      </c>
      <c r="B367">
        <f t="shared" si="5"/>
        <v>27500</v>
      </c>
    </row>
    <row r="368" spans="1:2">
      <c r="A368">
        <v>21.9</v>
      </c>
      <c r="B368">
        <f t="shared" si="5"/>
        <v>21900</v>
      </c>
    </row>
    <row r="369" spans="1:2">
      <c r="A369">
        <v>23.1</v>
      </c>
      <c r="B369">
        <f t="shared" si="5"/>
        <v>23100</v>
      </c>
    </row>
    <row r="370" spans="1:2">
      <c r="A370">
        <v>50</v>
      </c>
      <c r="B370">
        <f t="shared" si="5"/>
        <v>50000</v>
      </c>
    </row>
    <row r="371" spans="1:2">
      <c r="A371">
        <v>50</v>
      </c>
      <c r="B371">
        <f t="shared" si="5"/>
        <v>50000</v>
      </c>
    </row>
    <row r="372" spans="1:2">
      <c r="A372">
        <v>50</v>
      </c>
      <c r="B372">
        <f t="shared" si="5"/>
        <v>50000</v>
      </c>
    </row>
    <row r="373" spans="1:2">
      <c r="A373">
        <v>50</v>
      </c>
      <c r="B373">
        <f t="shared" si="5"/>
        <v>50000</v>
      </c>
    </row>
    <row r="374" spans="1:2">
      <c r="A374">
        <v>50</v>
      </c>
      <c r="B374">
        <f t="shared" si="5"/>
        <v>50000</v>
      </c>
    </row>
    <row r="375" spans="1:2">
      <c r="A375">
        <v>13.8</v>
      </c>
      <c r="B375">
        <f t="shared" si="5"/>
        <v>13800</v>
      </c>
    </row>
    <row r="376" spans="1:2">
      <c r="A376">
        <v>13.8</v>
      </c>
      <c r="B376">
        <f t="shared" si="5"/>
        <v>13800</v>
      </c>
    </row>
    <row r="377" spans="1:2">
      <c r="A377">
        <v>15</v>
      </c>
      <c r="B377">
        <f t="shared" si="5"/>
        <v>15000</v>
      </c>
    </row>
    <row r="378" spans="1:2">
      <c r="A378">
        <v>13.9</v>
      </c>
      <c r="B378">
        <f t="shared" si="5"/>
        <v>13900</v>
      </c>
    </row>
    <row r="379" spans="1:2">
      <c r="A379">
        <v>13.3</v>
      </c>
      <c r="B379">
        <f t="shared" si="5"/>
        <v>13300</v>
      </c>
    </row>
    <row r="380" spans="1:2">
      <c r="A380">
        <v>13.1</v>
      </c>
      <c r="B380">
        <f t="shared" si="5"/>
        <v>13100</v>
      </c>
    </row>
    <row r="381" spans="1:2">
      <c r="A381">
        <v>10.199999999999999</v>
      </c>
      <c r="B381">
        <f t="shared" si="5"/>
        <v>10200</v>
      </c>
    </row>
    <row r="382" spans="1:2">
      <c r="A382">
        <v>10.4</v>
      </c>
      <c r="B382">
        <f t="shared" si="5"/>
        <v>10400</v>
      </c>
    </row>
    <row r="383" spans="1:2">
      <c r="A383">
        <v>10.9</v>
      </c>
      <c r="B383">
        <f t="shared" si="5"/>
        <v>10900</v>
      </c>
    </row>
    <row r="384" spans="1:2">
      <c r="A384">
        <v>11.3</v>
      </c>
      <c r="B384">
        <f t="shared" si="5"/>
        <v>11300</v>
      </c>
    </row>
    <row r="385" spans="1:2">
      <c r="A385">
        <v>12.3</v>
      </c>
      <c r="B385">
        <f t="shared" si="5"/>
        <v>12300</v>
      </c>
    </row>
    <row r="386" spans="1:2">
      <c r="A386">
        <v>8.8000000000000007</v>
      </c>
      <c r="B386">
        <f t="shared" si="5"/>
        <v>8800</v>
      </c>
    </row>
    <row r="387" spans="1:2">
      <c r="A387">
        <v>7.2</v>
      </c>
      <c r="B387">
        <f t="shared" ref="B387:B450" si="6">A387*1000</f>
        <v>7200</v>
      </c>
    </row>
    <row r="388" spans="1:2">
      <c r="A388">
        <v>10.5</v>
      </c>
      <c r="B388">
        <f t="shared" si="6"/>
        <v>10500</v>
      </c>
    </row>
    <row r="389" spans="1:2">
      <c r="A389">
        <v>7.4</v>
      </c>
      <c r="B389">
        <f t="shared" si="6"/>
        <v>7400</v>
      </c>
    </row>
    <row r="390" spans="1:2">
      <c r="A390">
        <v>10.199999999999999</v>
      </c>
      <c r="B390">
        <f t="shared" si="6"/>
        <v>10200</v>
      </c>
    </row>
    <row r="391" spans="1:2">
      <c r="A391">
        <v>11.5</v>
      </c>
      <c r="B391">
        <f t="shared" si="6"/>
        <v>11500</v>
      </c>
    </row>
    <row r="392" spans="1:2">
      <c r="A392">
        <v>15.1</v>
      </c>
      <c r="B392">
        <f t="shared" si="6"/>
        <v>15100</v>
      </c>
    </row>
    <row r="393" spans="1:2">
      <c r="A393">
        <v>23.2</v>
      </c>
      <c r="B393">
        <f t="shared" si="6"/>
        <v>23200</v>
      </c>
    </row>
    <row r="394" spans="1:2">
      <c r="A394">
        <v>9.6999999999999993</v>
      </c>
      <c r="B394">
        <f t="shared" si="6"/>
        <v>9700</v>
      </c>
    </row>
    <row r="395" spans="1:2">
      <c r="A395">
        <v>13.8</v>
      </c>
      <c r="B395">
        <f t="shared" si="6"/>
        <v>13800</v>
      </c>
    </row>
    <row r="396" spans="1:2">
      <c r="A396">
        <v>12.7</v>
      </c>
      <c r="B396">
        <f t="shared" si="6"/>
        <v>12700</v>
      </c>
    </row>
    <row r="397" spans="1:2">
      <c r="A397">
        <v>13.1</v>
      </c>
      <c r="B397">
        <f t="shared" si="6"/>
        <v>13100</v>
      </c>
    </row>
    <row r="398" spans="1:2">
      <c r="A398">
        <v>12.5</v>
      </c>
      <c r="B398">
        <f t="shared" si="6"/>
        <v>12500</v>
      </c>
    </row>
    <row r="399" spans="1:2">
      <c r="A399">
        <v>8.5</v>
      </c>
      <c r="B399">
        <f t="shared" si="6"/>
        <v>8500</v>
      </c>
    </row>
    <row r="400" spans="1:2">
      <c r="A400">
        <v>5</v>
      </c>
      <c r="B400">
        <f t="shared" si="6"/>
        <v>5000</v>
      </c>
    </row>
    <row r="401" spans="1:2">
      <c r="A401">
        <v>6.3</v>
      </c>
      <c r="B401">
        <f t="shared" si="6"/>
        <v>6300</v>
      </c>
    </row>
    <row r="402" spans="1:2">
      <c r="A402">
        <v>5.6</v>
      </c>
      <c r="B402">
        <f t="shared" si="6"/>
        <v>5600</v>
      </c>
    </row>
    <row r="403" spans="1:2">
      <c r="A403">
        <v>7.2</v>
      </c>
      <c r="B403">
        <f t="shared" si="6"/>
        <v>7200</v>
      </c>
    </row>
    <row r="404" spans="1:2">
      <c r="A404">
        <v>12.1</v>
      </c>
      <c r="B404">
        <f t="shared" si="6"/>
        <v>12100</v>
      </c>
    </row>
    <row r="405" spans="1:2">
      <c r="A405">
        <v>8.3000000000000007</v>
      </c>
      <c r="B405">
        <f t="shared" si="6"/>
        <v>8300</v>
      </c>
    </row>
    <row r="406" spans="1:2">
      <c r="A406">
        <v>8.5</v>
      </c>
      <c r="B406">
        <f t="shared" si="6"/>
        <v>8500</v>
      </c>
    </row>
    <row r="407" spans="1:2">
      <c r="A407">
        <v>5</v>
      </c>
      <c r="B407">
        <f t="shared" si="6"/>
        <v>5000</v>
      </c>
    </row>
    <row r="408" spans="1:2">
      <c r="A408">
        <v>11.9</v>
      </c>
      <c r="B408">
        <f t="shared" si="6"/>
        <v>11900</v>
      </c>
    </row>
    <row r="409" spans="1:2">
      <c r="A409">
        <v>27.9</v>
      </c>
      <c r="B409">
        <f t="shared" si="6"/>
        <v>27900</v>
      </c>
    </row>
    <row r="410" spans="1:2">
      <c r="A410">
        <v>17.2</v>
      </c>
      <c r="B410">
        <f t="shared" si="6"/>
        <v>17200</v>
      </c>
    </row>
    <row r="411" spans="1:2">
      <c r="A411">
        <v>27.5</v>
      </c>
      <c r="B411">
        <f t="shared" si="6"/>
        <v>27500</v>
      </c>
    </row>
    <row r="412" spans="1:2">
      <c r="A412">
        <v>15</v>
      </c>
      <c r="B412">
        <f t="shared" si="6"/>
        <v>15000</v>
      </c>
    </row>
    <row r="413" spans="1:2">
      <c r="A413">
        <v>17.2</v>
      </c>
      <c r="B413">
        <f t="shared" si="6"/>
        <v>17200</v>
      </c>
    </row>
    <row r="414" spans="1:2">
      <c r="A414">
        <v>17.899999999999999</v>
      </c>
      <c r="B414">
        <f t="shared" si="6"/>
        <v>17900</v>
      </c>
    </row>
    <row r="415" spans="1:2">
      <c r="A415">
        <v>16.3</v>
      </c>
      <c r="B415">
        <f t="shared" si="6"/>
        <v>16300</v>
      </c>
    </row>
    <row r="416" spans="1:2">
      <c r="A416">
        <v>7</v>
      </c>
      <c r="B416">
        <f t="shared" si="6"/>
        <v>7000</v>
      </c>
    </row>
    <row r="417" spans="1:2">
      <c r="A417">
        <v>7.2</v>
      </c>
      <c r="B417">
        <f t="shared" si="6"/>
        <v>7200</v>
      </c>
    </row>
    <row r="418" spans="1:2">
      <c r="A418">
        <v>7.5</v>
      </c>
      <c r="B418">
        <f t="shared" si="6"/>
        <v>7500</v>
      </c>
    </row>
    <row r="419" spans="1:2">
      <c r="A419">
        <v>10.4</v>
      </c>
      <c r="B419">
        <f t="shared" si="6"/>
        <v>10400</v>
      </c>
    </row>
    <row r="420" spans="1:2">
      <c r="A420">
        <v>8.8000000000000007</v>
      </c>
      <c r="B420">
        <f t="shared" si="6"/>
        <v>8800</v>
      </c>
    </row>
    <row r="421" spans="1:2">
      <c r="A421">
        <v>8.4</v>
      </c>
      <c r="B421">
        <f t="shared" si="6"/>
        <v>8400</v>
      </c>
    </row>
    <row r="422" spans="1:2">
      <c r="A422">
        <v>16.7</v>
      </c>
      <c r="B422">
        <f t="shared" si="6"/>
        <v>16700</v>
      </c>
    </row>
    <row r="423" spans="1:2">
      <c r="A423">
        <v>14.2</v>
      </c>
      <c r="B423">
        <f t="shared" si="6"/>
        <v>14200</v>
      </c>
    </row>
    <row r="424" spans="1:2">
      <c r="A424">
        <v>20.8</v>
      </c>
      <c r="B424">
        <f t="shared" si="6"/>
        <v>20800</v>
      </c>
    </row>
    <row r="425" spans="1:2">
      <c r="A425">
        <v>13.4</v>
      </c>
      <c r="B425">
        <f t="shared" si="6"/>
        <v>13400</v>
      </c>
    </row>
    <row r="426" spans="1:2">
      <c r="A426">
        <v>11.7</v>
      </c>
      <c r="B426">
        <f t="shared" si="6"/>
        <v>11700</v>
      </c>
    </row>
    <row r="427" spans="1:2">
      <c r="A427">
        <v>8.3000000000000007</v>
      </c>
      <c r="B427">
        <f t="shared" si="6"/>
        <v>8300</v>
      </c>
    </row>
    <row r="428" spans="1:2">
      <c r="A428">
        <v>10.199999999999999</v>
      </c>
      <c r="B428">
        <f t="shared" si="6"/>
        <v>10200</v>
      </c>
    </row>
    <row r="429" spans="1:2">
      <c r="A429">
        <v>10.9</v>
      </c>
      <c r="B429">
        <f t="shared" si="6"/>
        <v>10900</v>
      </c>
    </row>
    <row r="430" spans="1:2">
      <c r="A430">
        <v>11</v>
      </c>
      <c r="B430">
        <f t="shared" si="6"/>
        <v>11000</v>
      </c>
    </row>
    <row r="431" spans="1:2">
      <c r="A431">
        <v>9.5</v>
      </c>
      <c r="B431">
        <f t="shared" si="6"/>
        <v>9500</v>
      </c>
    </row>
    <row r="432" spans="1:2">
      <c r="A432">
        <v>14.5</v>
      </c>
      <c r="B432">
        <f t="shared" si="6"/>
        <v>14500</v>
      </c>
    </row>
    <row r="433" spans="1:2">
      <c r="A433">
        <v>14.1</v>
      </c>
      <c r="B433">
        <f t="shared" si="6"/>
        <v>14100</v>
      </c>
    </row>
    <row r="434" spans="1:2">
      <c r="A434">
        <v>16.100000000000001</v>
      </c>
      <c r="B434">
        <f t="shared" si="6"/>
        <v>16100.000000000002</v>
      </c>
    </row>
    <row r="435" spans="1:2">
      <c r="A435">
        <v>14.3</v>
      </c>
      <c r="B435">
        <f t="shared" si="6"/>
        <v>14300</v>
      </c>
    </row>
    <row r="436" spans="1:2">
      <c r="A436">
        <v>11.7</v>
      </c>
      <c r="B436">
        <f t="shared" si="6"/>
        <v>11700</v>
      </c>
    </row>
    <row r="437" spans="1:2">
      <c r="A437">
        <v>13.4</v>
      </c>
      <c r="B437">
        <f t="shared" si="6"/>
        <v>13400</v>
      </c>
    </row>
    <row r="438" spans="1:2">
      <c r="A438">
        <v>9.6</v>
      </c>
      <c r="B438">
        <f t="shared" si="6"/>
        <v>9600</v>
      </c>
    </row>
    <row r="439" spans="1:2">
      <c r="A439">
        <v>8.6999999999999993</v>
      </c>
      <c r="B439">
        <f t="shared" si="6"/>
        <v>8700</v>
      </c>
    </row>
    <row r="440" spans="1:2">
      <c r="A440">
        <v>8.4</v>
      </c>
      <c r="B440">
        <f t="shared" si="6"/>
        <v>8400</v>
      </c>
    </row>
    <row r="441" spans="1:2">
      <c r="A441">
        <v>12.8</v>
      </c>
      <c r="B441">
        <f t="shared" si="6"/>
        <v>12800</v>
      </c>
    </row>
    <row r="442" spans="1:2">
      <c r="A442">
        <v>10.5</v>
      </c>
      <c r="B442">
        <f t="shared" si="6"/>
        <v>10500</v>
      </c>
    </row>
    <row r="443" spans="1:2">
      <c r="A443">
        <v>17.100000000000001</v>
      </c>
      <c r="B443">
        <f t="shared" si="6"/>
        <v>17100</v>
      </c>
    </row>
    <row r="444" spans="1:2">
      <c r="A444">
        <v>18.399999999999999</v>
      </c>
      <c r="B444">
        <f t="shared" si="6"/>
        <v>18400</v>
      </c>
    </row>
    <row r="445" spans="1:2">
      <c r="A445">
        <v>15.4</v>
      </c>
      <c r="B445">
        <f t="shared" si="6"/>
        <v>15400</v>
      </c>
    </row>
    <row r="446" spans="1:2">
      <c r="A446">
        <v>10.8</v>
      </c>
      <c r="B446">
        <f t="shared" si="6"/>
        <v>10800</v>
      </c>
    </row>
    <row r="447" spans="1:2">
      <c r="A447">
        <v>11.8</v>
      </c>
      <c r="B447">
        <f t="shared" si="6"/>
        <v>11800</v>
      </c>
    </row>
    <row r="448" spans="1:2">
      <c r="A448">
        <v>14.9</v>
      </c>
      <c r="B448">
        <f t="shared" si="6"/>
        <v>14900</v>
      </c>
    </row>
    <row r="449" spans="1:2">
      <c r="A449">
        <v>12.6</v>
      </c>
      <c r="B449">
        <f t="shared" si="6"/>
        <v>12600</v>
      </c>
    </row>
    <row r="450" spans="1:2">
      <c r="A450">
        <v>14.1</v>
      </c>
      <c r="B450">
        <f t="shared" si="6"/>
        <v>14100</v>
      </c>
    </row>
    <row r="451" spans="1:2">
      <c r="A451">
        <v>13</v>
      </c>
      <c r="B451">
        <f t="shared" ref="B451:B507" si="7">A451*1000</f>
        <v>13000</v>
      </c>
    </row>
    <row r="452" spans="1:2">
      <c r="A452">
        <v>13.4</v>
      </c>
      <c r="B452">
        <f t="shared" si="7"/>
        <v>13400</v>
      </c>
    </row>
    <row r="453" spans="1:2">
      <c r="A453">
        <v>15.2</v>
      </c>
      <c r="B453">
        <f t="shared" si="7"/>
        <v>15200</v>
      </c>
    </row>
    <row r="454" spans="1:2">
      <c r="A454">
        <v>16.100000000000001</v>
      </c>
      <c r="B454">
        <f t="shared" si="7"/>
        <v>16100.000000000002</v>
      </c>
    </row>
    <row r="455" spans="1:2">
      <c r="A455">
        <v>17.8</v>
      </c>
      <c r="B455">
        <f t="shared" si="7"/>
        <v>17800</v>
      </c>
    </row>
    <row r="456" spans="1:2">
      <c r="A456">
        <v>14.9</v>
      </c>
      <c r="B456">
        <f t="shared" si="7"/>
        <v>14900</v>
      </c>
    </row>
    <row r="457" spans="1:2">
      <c r="A457">
        <v>14.1</v>
      </c>
      <c r="B457">
        <f t="shared" si="7"/>
        <v>14100</v>
      </c>
    </row>
    <row r="458" spans="1:2">
      <c r="A458">
        <v>12.7</v>
      </c>
      <c r="B458">
        <f t="shared" si="7"/>
        <v>12700</v>
      </c>
    </row>
    <row r="459" spans="1:2">
      <c r="A459">
        <v>13.5</v>
      </c>
      <c r="B459">
        <f t="shared" si="7"/>
        <v>13500</v>
      </c>
    </row>
    <row r="460" spans="1:2">
      <c r="A460">
        <v>14.9</v>
      </c>
      <c r="B460">
        <f t="shared" si="7"/>
        <v>14900</v>
      </c>
    </row>
    <row r="461" spans="1:2">
      <c r="A461">
        <v>20</v>
      </c>
      <c r="B461">
        <f t="shared" si="7"/>
        <v>20000</v>
      </c>
    </row>
    <row r="462" spans="1:2">
      <c r="A462">
        <v>16.399999999999999</v>
      </c>
      <c r="B462">
        <f t="shared" si="7"/>
        <v>16400</v>
      </c>
    </row>
    <row r="463" spans="1:2">
      <c r="A463">
        <v>17.7</v>
      </c>
      <c r="B463">
        <f t="shared" si="7"/>
        <v>17700</v>
      </c>
    </row>
    <row r="464" spans="1:2">
      <c r="A464">
        <v>19.5</v>
      </c>
      <c r="B464">
        <f t="shared" si="7"/>
        <v>19500</v>
      </c>
    </row>
    <row r="465" spans="1:2">
      <c r="A465">
        <v>20.2</v>
      </c>
      <c r="B465">
        <f t="shared" si="7"/>
        <v>20200</v>
      </c>
    </row>
    <row r="466" spans="1:2">
      <c r="A466">
        <v>21.4</v>
      </c>
      <c r="B466">
        <f t="shared" si="7"/>
        <v>21400</v>
      </c>
    </row>
    <row r="467" spans="1:2">
      <c r="A467">
        <v>19.899999999999999</v>
      </c>
      <c r="B467">
        <f t="shared" si="7"/>
        <v>19900</v>
      </c>
    </row>
    <row r="468" spans="1:2">
      <c r="A468">
        <v>19</v>
      </c>
      <c r="B468">
        <f t="shared" si="7"/>
        <v>19000</v>
      </c>
    </row>
    <row r="469" spans="1:2">
      <c r="A469">
        <v>19.100000000000001</v>
      </c>
      <c r="B469">
        <f t="shared" si="7"/>
        <v>19100</v>
      </c>
    </row>
    <row r="470" spans="1:2">
      <c r="A470">
        <v>19.100000000000001</v>
      </c>
      <c r="B470">
        <f t="shared" si="7"/>
        <v>19100</v>
      </c>
    </row>
    <row r="471" spans="1:2">
      <c r="A471">
        <v>20.100000000000001</v>
      </c>
      <c r="B471">
        <f t="shared" si="7"/>
        <v>20100</v>
      </c>
    </row>
    <row r="472" spans="1:2">
      <c r="A472">
        <v>19.899999999999999</v>
      </c>
      <c r="B472">
        <f t="shared" si="7"/>
        <v>19900</v>
      </c>
    </row>
    <row r="473" spans="1:2">
      <c r="A473">
        <v>19.600000000000001</v>
      </c>
      <c r="B473">
        <f t="shared" si="7"/>
        <v>19600</v>
      </c>
    </row>
    <row r="474" spans="1:2">
      <c r="A474">
        <v>23.2</v>
      </c>
      <c r="B474">
        <f t="shared" si="7"/>
        <v>23200</v>
      </c>
    </row>
    <row r="475" spans="1:2">
      <c r="A475">
        <v>29.8</v>
      </c>
      <c r="B475">
        <f t="shared" si="7"/>
        <v>29800</v>
      </c>
    </row>
    <row r="476" spans="1:2">
      <c r="A476">
        <v>13.8</v>
      </c>
      <c r="B476">
        <f t="shared" si="7"/>
        <v>13800</v>
      </c>
    </row>
    <row r="477" spans="1:2">
      <c r="A477">
        <v>13.3</v>
      </c>
      <c r="B477">
        <f t="shared" si="7"/>
        <v>13300</v>
      </c>
    </row>
    <row r="478" spans="1:2">
      <c r="A478">
        <v>16.7</v>
      </c>
      <c r="B478">
        <f t="shared" si="7"/>
        <v>16700</v>
      </c>
    </row>
    <row r="479" spans="1:2">
      <c r="A479">
        <v>12</v>
      </c>
      <c r="B479">
        <f t="shared" si="7"/>
        <v>12000</v>
      </c>
    </row>
    <row r="480" spans="1:2">
      <c r="A480">
        <v>14.6</v>
      </c>
      <c r="B480">
        <f t="shared" si="7"/>
        <v>14600</v>
      </c>
    </row>
    <row r="481" spans="1:2">
      <c r="A481">
        <v>21.4</v>
      </c>
      <c r="B481">
        <f t="shared" si="7"/>
        <v>21400</v>
      </c>
    </row>
    <row r="482" spans="1:2">
      <c r="A482">
        <v>23</v>
      </c>
      <c r="B482">
        <f t="shared" si="7"/>
        <v>23000</v>
      </c>
    </row>
    <row r="483" spans="1:2">
      <c r="A483">
        <v>23.7</v>
      </c>
      <c r="B483">
        <f t="shared" si="7"/>
        <v>23700</v>
      </c>
    </row>
    <row r="484" spans="1:2">
      <c r="A484">
        <v>25</v>
      </c>
      <c r="B484">
        <f t="shared" si="7"/>
        <v>25000</v>
      </c>
    </row>
    <row r="485" spans="1:2">
      <c r="A485">
        <v>21.8</v>
      </c>
      <c r="B485">
        <f t="shared" si="7"/>
        <v>21800</v>
      </c>
    </row>
    <row r="486" spans="1:2">
      <c r="A486">
        <v>20.6</v>
      </c>
      <c r="B486">
        <f t="shared" si="7"/>
        <v>20600</v>
      </c>
    </row>
    <row r="487" spans="1:2">
      <c r="A487">
        <v>21.2</v>
      </c>
      <c r="B487">
        <f t="shared" si="7"/>
        <v>21200</v>
      </c>
    </row>
    <row r="488" spans="1:2">
      <c r="A488">
        <v>19.100000000000001</v>
      </c>
      <c r="B488">
        <f t="shared" si="7"/>
        <v>19100</v>
      </c>
    </row>
    <row r="489" spans="1:2">
      <c r="A489">
        <v>20.6</v>
      </c>
      <c r="B489">
        <f t="shared" si="7"/>
        <v>20600</v>
      </c>
    </row>
    <row r="490" spans="1:2">
      <c r="A490">
        <v>15.2</v>
      </c>
      <c r="B490">
        <f t="shared" si="7"/>
        <v>15200</v>
      </c>
    </row>
    <row r="491" spans="1:2">
      <c r="A491">
        <v>7</v>
      </c>
      <c r="B491">
        <f t="shared" si="7"/>
        <v>7000</v>
      </c>
    </row>
    <row r="492" spans="1:2">
      <c r="A492">
        <v>8.1</v>
      </c>
      <c r="B492">
        <f t="shared" si="7"/>
        <v>8100</v>
      </c>
    </row>
    <row r="493" spans="1:2">
      <c r="A493">
        <v>13.6</v>
      </c>
      <c r="B493">
        <f t="shared" si="7"/>
        <v>13600</v>
      </c>
    </row>
    <row r="494" spans="1:2">
      <c r="A494">
        <v>20.100000000000001</v>
      </c>
      <c r="B494">
        <f t="shared" si="7"/>
        <v>20100</v>
      </c>
    </row>
    <row r="495" spans="1:2">
      <c r="A495">
        <v>21.8</v>
      </c>
      <c r="B495">
        <f t="shared" si="7"/>
        <v>21800</v>
      </c>
    </row>
    <row r="496" spans="1:2">
      <c r="A496">
        <v>24.5</v>
      </c>
      <c r="B496">
        <f t="shared" si="7"/>
        <v>24500</v>
      </c>
    </row>
    <row r="497" spans="1:2">
      <c r="A497">
        <v>23.1</v>
      </c>
      <c r="B497">
        <f t="shared" si="7"/>
        <v>23100</v>
      </c>
    </row>
    <row r="498" spans="1:2">
      <c r="A498">
        <v>19.7</v>
      </c>
      <c r="B498">
        <f t="shared" si="7"/>
        <v>19700</v>
      </c>
    </row>
    <row r="499" spans="1:2">
      <c r="A499">
        <v>18.3</v>
      </c>
      <c r="B499">
        <f t="shared" si="7"/>
        <v>18300</v>
      </c>
    </row>
    <row r="500" spans="1:2">
      <c r="A500">
        <v>21.2</v>
      </c>
      <c r="B500">
        <f t="shared" si="7"/>
        <v>21200</v>
      </c>
    </row>
    <row r="501" spans="1:2">
      <c r="A501">
        <v>17.5</v>
      </c>
      <c r="B501">
        <f t="shared" si="7"/>
        <v>17500</v>
      </c>
    </row>
    <row r="502" spans="1:2">
      <c r="A502">
        <v>16.8</v>
      </c>
      <c r="B502">
        <f t="shared" si="7"/>
        <v>16800</v>
      </c>
    </row>
    <row r="503" spans="1:2">
      <c r="A503">
        <v>22.4</v>
      </c>
      <c r="B503">
        <f t="shared" si="7"/>
        <v>22400</v>
      </c>
    </row>
    <row r="504" spans="1:2">
      <c r="A504">
        <v>20.6</v>
      </c>
      <c r="B504">
        <f t="shared" si="7"/>
        <v>20600</v>
      </c>
    </row>
    <row r="505" spans="1:2">
      <c r="A505">
        <v>23.9</v>
      </c>
      <c r="B505">
        <f t="shared" si="7"/>
        <v>23900</v>
      </c>
    </row>
    <row r="506" spans="1:2">
      <c r="A506">
        <v>22</v>
      </c>
      <c r="B506">
        <f t="shared" si="7"/>
        <v>22000</v>
      </c>
    </row>
    <row r="507" spans="1:2">
      <c r="A507">
        <v>11.9</v>
      </c>
      <c r="B507">
        <f t="shared" si="7"/>
        <v>11900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74A3B-EA80-4707-8F41-A47AD6F8DDC1}">
  <dimension ref="A1:K26"/>
  <sheetViews>
    <sheetView zoomScaleNormal="100" workbookViewId="0">
      <selection activeCell="C2" sqref="C2"/>
    </sheetView>
  </sheetViews>
  <sheetFormatPr defaultRowHeight="15"/>
  <cols>
    <col min="1" max="1" width="28.28515625" customWidth="1"/>
    <col min="2" max="2" width="20" bestFit="1" customWidth="1"/>
    <col min="3" max="3" width="13.140625" bestFit="1" customWidth="1"/>
    <col min="4" max="4" width="11.28515625" customWidth="1"/>
    <col min="5" max="5" width="11" customWidth="1"/>
    <col min="6" max="6" width="31.42578125" bestFit="1" customWidth="1"/>
    <col min="7" max="7" width="12.7109375" bestFit="1" customWidth="1"/>
    <col min="8" max="8" width="10.7109375" customWidth="1"/>
    <col min="9" max="9" width="11.5703125" customWidth="1"/>
    <col min="10" max="10" width="10.140625" customWidth="1"/>
    <col min="11" max="11" width="12.85546875" customWidth="1"/>
  </cols>
  <sheetData>
    <row r="1" spans="1:11" ht="22.5" customHeight="1">
      <c r="A1" s="37"/>
      <c r="B1" s="39" t="s">
        <v>3</v>
      </c>
      <c r="C1" s="39" t="s">
        <v>6</v>
      </c>
      <c r="D1" s="39" t="s">
        <v>5</v>
      </c>
      <c r="E1" s="39" t="s">
        <v>25</v>
      </c>
      <c r="F1" s="39" t="s">
        <v>52</v>
      </c>
      <c r="G1" s="39" t="s">
        <v>8</v>
      </c>
      <c r="H1" s="39" t="s">
        <v>1</v>
      </c>
      <c r="I1" s="39" t="s">
        <v>4</v>
      </c>
      <c r="J1" s="39" t="s">
        <v>2</v>
      </c>
      <c r="K1" s="39" t="s">
        <v>9</v>
      </c>
    </row>
    <row r="2" spans="1:11" ht="17.25" customHeight="1">
      <c r="A2" s="38" t="s">
        <v>3</v>
      </c>
      <c r="B2" s="1">
        <f>VARP(data!$A$2:$A$507)</f>
        <v>8.5126346716868273</v>
      </c>
      <c r="C2" s="1"/>
      <c r="D2" s="1"/>
      <c r="E2" s="1"/>
      <c r="F2" s="1"/>
      <c r="G2" s="1"/>
      <c r="H2" s="1"/>
      <c r="I2" s="1"/>
      <c r="J2" s="1"/>
      <c r="K2" s="1"/>
    </row>
    <row r="3" spans="1:11" ht="20.25" customHeight="1">
      <c r="A3" s="38" t="s">
        <v>6</v>
      </c>
      <c r="B3" s="1">
        <v>5.7638814073020734E-3</v>
      </c>
      <c r="C3" s="1">
        <f>VARP(data!$B$2:$B$507)</f>
        <v>7.9079247281633208E-2</v>
      </c>
      <c r="D3" s="1"/>
      <c r="E3" s="1"/>
      <c r="F3" s="1"/>
      <c r="G3" s="1"/>
      <c r="H3" s="1"/>
      <c r="I3" s="1"/>
      <c r="J3" s="1"/>
      <c r="K3" s="1"/>
    </row>
    <row r="4" spans="1:11" ht="20.25" customHeight="1">
      <c r="A4" s="38" t="s">
        <v>5</v>
      </c>
      <c r="B4" s="1">
        <v>-7.4977837491602972E-2</v>
      </c>
      <c r="C4" s="1">
        <v>1.2426782823899796</v>
      </c>
      <c r="D4" s="1">
        <f>VARP(data!$C$2:$C$507)</f>
        <v>46.971429741520595</v>
      </c>
      <c r="E4" s="1"/>
      <c r="F4" s="1"/>
      <c r="G4" s="1"/>
      <c r="H4" s="1"/>
      <c r="I4" s="1"/>
      <c r="J4" s="1"/>
      <c r="K4" s="1"/>
    </row>
    <row r="5" spans="1:11" ht="23.25" customHeight="1">
      <c r="A5" s="38" t="s">
        <v>25</v>
      </c>
      <c r="B5" s="1">
        <v>6.9195644362511253E-4</v>
      </c>
      <c r="C5" s="1">
        <v>2.3812119313299691E-2</v>
      </c>
      <c r="D5" s="1">
        <v>0.60587394258229343</v>
      </c>
      <c r="E5" s="1">
        <f>VARP(data!$D$2:$D$507)</f>
        <v>1.3401098888632343E-2</v>
      </c>
      <c r="F5" s="1"/>
      <c r="G5" s="1"/>
      <c r="H5" s="1"/>
      <c r="I5" s="1"/>
      <c r="J5" s="1"/>
      <c r="K5" s="1"/>
    </row>
    <row r="6" spans="1:11" ht="24.75" customHeight="1">
      <c r="A6" s="38" t="s">
        <v>52</v>
      </c>
      <c r="B6" s="1">
        <v>-0.19573044415629029</v>
      </c>
      <c r="C6" s="1">
        <v>1.1154995547501148</v>
      </c>
      <c r="D6" s="1">
        <v>35.479714493274436</v>
      </c>
      <c r="E6" s="1">
        <v>0.61571022434345091</v>
      </c>
      <c r="F6" s="1">
        <f>VARP(data!$E$2:$E$507)</f>
        <v>75.666531269040291</v>
      </c>
      <c r="G6" s="1"/>
      <c r="H6" s="1"/>
      <c r="I6" s="1"/>
      <c r="J6" s="1"/>
      <c r="K6" s="1"/>
    </row>
    <row r="7" spans="1:11" ht="21.75" customHeight="1">
      <c r="A7" s="38" t="s">
        <v>8</v>
      </c>
      <c r="B7" s="1">
        <v>-7.7812610726616587</v>
      </c>
      <c r="C7" s="1">
        <v>23.979417230389476</v>
      </c>
      <c r="D7" s="1">
        <v>831.71333312503305</v>
      </c>
      <c r="E7" s="1">
        <v>13.020502357480964</v>
      </c>
      <c r="F7" s="1">
        <v>1333.1167413957373</v>
      </c>
      <c r="G7" s="1">
        <f>VARP(data!$F$2:$F$507)</f>
        <v>28348.623599806277</v>
      </c>
      <c r="H7" s="1"/>
      <c r="I7" s="1"/>
      <c r="J7" s="1"/>
      <c r="K7" s="1"/>
    </row>
    <row r="8" spans="1:11" ht="20.25" customHeight="1">
      <c r="A8" s="38" t="s">
        <v>1</v>
      </c>
      <c r="B8" s="1">
        <v>8.076609539283526E-2</v>
      </c>
      <c r="C8" s="1">
        <v>0.15905425447983862</v>
      </c>
      <c r="D8" s="1">
        <v>5.6808547821400115</v>
      </c>
      <c r="E8" s="1">
        <v>4.7303653822118687E-2</v>
      </c>
      <c r="F8" s="1">
        <v>8.7434024902747911</v>
      </c>
      <c r="G8" s="1">
        <v>167.82082207189643</v>
      </c>
      <c r="H8" s="1">
        <f>VARP(data!$G$2:$G$507)</f>
        <v>4.6777262963018424</v>
      </c>
      <c r="I8" s="1"/>
      <c r="J8" s="1"/>
      <c r="K8" s="1"/>
    </row>
    <row r="9" spans="1:11" ht="21.75" customHeight="1">
      <c r="A9" s="38" t="s">
        <v>4</v>
      </c>
      <c r="B9" s="1">
        <v>5.4958610820353498E-2</v>
      </c>
      <c r="C9" s="1">
        <v>-4.7425380301988791E-2</v>
      </c>
      <c r="D9" s="1">
        <v>-1.8842254267759224</v>
      </c>
      <c r="E9" s="1">
        <v>-2.4554826114687001E-2</v>
      </c>
      <c r="F9" s="1">
        <v>-1.2812773906794352</v>
      </c>
      <c r="G9" s="1">
        <v>-34.515101040478683</v>
      </c>
      <c r="H9" s="1">
        <v>-0.53969451834898297</v>
      </c>
      <c r="I9" s="1">
        <f>VARP(data!$H$2:$H$507)</f>
        <v>0.49269521612970291</v>
      </c>
      <c r="J9" s="1"/>
      <c r="K9" s="1"/>
    </row>
    <row r="10" spans="1:11" ht="21" customHeight="1">
      <c r="A10" s="38" t="s">
        <v>2</v>
      </c>
      <c r="B10" s="1">
        <v>-0.85204876579855959</v>
      </c>
      <c r="C10" s="1">
        <v>1.2083844052008317</v>
      </c>
      <c r="D10" s="1">
        <v>29.52181125115218</v>
      </c>
      <c r="E10" s="1">
        <v>0.48797987086581535</v>
      </c>
      <c r="F10" s="1">
        <v>30.325392132356395</v>
      </c>
      <c r="G10" s="1">
        <v>653.42061741317593</v>
      </c>
      <c r="H10" s="1">
        <v>5.7713002429345837</v>
      </c>
      <c r="I10" s="1">
        <v>-3.0736549669968305</v>
      </c>
      <c r="J10" s="1">
        <f>VARP(data!$I$2:$I$507)</f>
        <v>50.893979351731517</v>
      </c>
      <c r="K10" s="1"/>
    </row>
    <row r="11" spans="1:11" ht="18" customHeight="1">
      <c r="A11" s="38" t="s">
        <v>9</v>
      </c>
      <c r="B11" s="1">
        <v>1.1561550641316085</v>
      </c>
      <c r="C11" s="1">
        <v>-0.97396152884750509</v>
      </c>
      <c r="D11" s="1">
        <v>-30.460504991485585</v>
      </c>
      <c r="E11" s="1">
        <v>-0.45451240708337864</v>
      </c>
      <c r="F11" s="1">
        <v>-30.500830351981755</v>
      </c>
      <c r="G11" s="1">
        <v>-724.82042837725965</v>
      </c>
      <c r="H11" s="1">
        <v>-10.090675608117616</v>
      </c>
      <c r="I11" s="1">
        <v>4.4845655517192906</v>
      </c>
      <c r="J11" s="1">
        <v>-48.351792193285306</v>
      </c>
      <c r="K11" s="1">
        <f>VARP(data!$J$2:$J$507)</f>
        <v>84.419556156164219</v>
      </c>
    </row>
    <row r="13" spans="1:11">
      <c r="B13" s="14" t="s">
        <v>94</v>
      </c>
      <c r="C13" s="40" t="s">
        <v>95</v>
      </c>
    </row>
    <row r="14" spans="1:11">
      <c r="C14" s="40" t="s">
        <v>96</v>
      </c>
    </row>
    <row r="15" spans="1:11">
      <c r="C15" s="40" t="s">
        <v>110</v>
      </c>
    </row>
    <row r="17" spans="2:5">
      <c r="C17" s="41" t="s">
        <v>97</v>
      </c>
      <c r="D17" s="41"/>
    </row>
    <row r="18" spans="2:5">
      <c r="C18" t="s">
        <v>98</v>
      </c>
    </row>
    <row r="19" spans="2:5">
      <c r="C19" s="41" t="s">
        <v>99</v>
      </c>
      <c r="D19" s="41"/>
    </row>
    <row r="20" spans="2:5">
      <c r="C20" t="s">
        <v>100</v>
      </c>
    </row>
    <row r="21" spans="2:5">
      <c r="C21" s="57" t="s">
        <v>101</v>
      </c>
      <c r="D21" s="57"/>
    </row>
    <row r="22" spans="2:5">
      <c r="B22" s="12" t="s">
        <v>107</v>
      </c>
      <c r="C22" t="s">
        <v>102</v>
      </c>
    </row>
    <row r="23" spans="2:5">
      <c r="C23" s="57" t="s">
        <v>103</v>
      </c>
      <c r="D23" s="57"/>
      <c r="E23" s="57"/>
    </row>
    <row r="24" spans="2:5">
      <c r="B24" s="12" t="s">
        <v>108</v>
      </c>
      <c r="C24" t="s">
        <v>104</v>
      </c>
    </row>
    <row r="25" spans="2:5">
      <c r="C25" s="57" t="s">
        <v>105</v>
      </c>
      <c r="D25" s="57"/>
    </row>
    <row r="26" spans="2:5">
      <c r="B26" s="12" t="s">
        <v>109</v>
      </c>
      <c r="C26" t="s">
        <v>106</v>
      </c>
    </row>
  </sheetData>
  <mergeCells count="3">
    <mergeCell ref="C21:D21"/>
    <mergeCell ref="C23:E23"/>
    <mergeCell ref="C25:D2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395F1-7B50-46F4-8393-0227152A8BC2}">
  <dimension ref="A1:K22"/>
  <sheetViews>
    <sheetView topLeftCell="A9" workbookViewId="0">
      <selection activeCell="C28" sqref="C28"/>
    </sheetView>
  </sheetViews>
  <sheetFormatPr defaultRowHeight="15"/>
  <cols>
    <col min="1" max="1" width="26.5703125" bestFit="1" customWidth="1"/>
    <col min="2" max="2" width="11" customWidth="1"/>
    <col min="3" max="3" width="13.7109375" bestFit="1" customWidth="1"/>
    <col min="4" max="4" width="11.5703125" customWidth="1"/>
    <col min="5" max="5" width="11.140625" customWidth="1"/>
    <col min="6" max="6" width="32.140625" bestFit="1" customWidth="1"/>
    <col min="7" max="7" width="12.85546875" bestFit="1" customWidth="1"/>
    <col min="8" max="8" width="10.28515625" customWidth="1"/>
    <col min="9" max="9" width="10.85546875" customWidth="1"/>
    <col min="11" max="11" width="15.5703125" bestFit="1" customWidth="1"/>
  </cols>
  <sheetData>
    <row r="1" spans="1:11">
      <c r="A1" s="15"/>
      <c r="B1" s="46" t="s">
        <v>3</v>
      </c>
      <c r="C1" s="46" t="s">
        <v>6</v>
      </c>
      <c r="D1" s="46" t="s">
        <v>5</v>
      </c>
      <c r="E1" s="46" t="s">
        <v>25</v>
      </c>
      <c r="F1" s="46" t="s">
        <v>112</v>
      </c>
      <c r="G1" s="46" t="s">
        <v>8</v>
      </c>
      <c r="H1" s="46" t="s">
        <v>1</v>
      </c>
      <c r="I1" s="46" t="s">
        <v>4</v>
      </c>
      <c r="J1" s="46" t="s">
        <v>2</v>
      </c>
      <c r="K1" s="46" t="s">
        <v>9</v>
      </c>
    </row>
    <row r="2" spans="1:11">
      <c r="A2" s="47" t="s">
        <v>3</v>
      </c>
      <c r="B2">
        <v>1</v>
      </c>
    </row>
    <row r="3" spans="1:11">
      <c r="A3" s="47" t="s">
        <v>6</v>
      </c>
      <c r="B3">
        <v>7.0250881057183235E-3</v>
      </c>
      <c r="C3">
        <v>1</v>
      </c>
    </row>
    <row r="4" spans="1:11">
      <c r="A4" s="47" t="s">
        <v>5</v>
      </c>
      <c r="B4">
        <v>-3.7495920759938167E-3</v>
      </c>
      <c r="C4">
        <v>0.64477851135525699</v>
      </c>
      <c r="D4">
        <v>1</v>
      </c>
    </row>
    <row r="5" spans="1:11">
      <c r="A5" s="47" t="s">
        <v>25</v>
      </c>
      <c r="B5">
        <v>2.0486914461696603E-3</v>
      </c>
      <c r="C5">
        <v>0.73147010378595712</v>
      </c>
      <c r="D5">
        <v>0.76365144692091447</v>
      </c>
      <c r="E5">
        <v>1</v>
      </c>
    </row>
    <row r="6" spans="1:11">
      <c r="A6" s="47" t="s">
        <v>112</v>
      </c>
      <c r="B6">
        <v>-7.7121322990970492E-3</v>
      </c>
      <c r="C6">
        <v>0.45602245175161438</v>
      </c>
      <c r="D6">
        <v>0.59512927460384857</v>
      </c>
      <c r="E6">
        <v>0.61144056348557552</v>
      </c>
      <c r="F6">
        <v>1</v>
      </c>
    </row>
    <row r="7" spans="1:11">
      <c r="A7" s="47" t="s">
        <v>8</v>
      </c>
      <c r="B7">
        <v>-1.5839884122793781E-2</v>
      </c>
      <c r="C7">
        <v>0.50645559355070469</v>
      </c>
      <c r="D7">
        <v>0.72076017995154407</v>
      </c>
      <c r="E7">
        <v>0.66802320040301999</v>
      </c>
      <c r="F7">
        <v>0.91022818853318221</v>
      </c>
      <c r="G7">
        <v>1</v>
      </c>
    </row>
    <row r="8" spans="1:11">
      <c r="A8" s="47" t="s">
        <v>1</v>
      </c>
      <c r="B8">
        <v>1.2799107490745577E-2</v>
      </c>
      <c r="C8">
        <v>0.26151501167195695</v>
      </c>
      <c r="D8">
        <v>0.38324755642888669</v>
      </c>
      <c r="E8">
        <v>0.18893267711276665</v>
      </c>
      <c r="F8">
        <v>0.4647411785030543</v>
      </c>
      <c r="G8">
        <v>0.46085303506566561</v>
      </c>
      <c r="H8">
        <v>1</v>
      </c>
    </row>
    <row r="9" spans="1:11">
      <c r="A9" s="47" t="s">
        <v>4</v>
      </c>
      <c r="B9">
        <v>2.683580182444863E-2</v>
      </c>
      <c r="C9">
        <v>-0.24026493104775126</v>
      </c>
      <c r="D9">
        <v>-0.39167585265684346</v>
      </c>
      <c r="E9">
        <v>-0.30218818784959328</v>
      </c>
      <c r="F9">
        <v>-0.20984666776610875</v>
      </c>
      <c r="G9">
        <v>-0.29204783262321909</v>
      </c>
      <c r="H9">
        <v>-0.35550149455908486</v>
      </c>
      <c r="I9">
        <v>1</v>
      </c>
    </row>
    <row r="10" spans="1:11">
      <c r="A10" s="47" t="s">
        <v>2</v>
      </c>
      <c r="B10">
        <v>-4.0935419870688522E-2</v>
      </c>
      <c r="C10">
        <v>0.60233852872623994</v>
      </c>
      <c r="D10">
        <v>0.60379971647662123</v>
      </c>
      <c r="E10">
        <v>0.59087892088084493</v>
      </c>
      <c r="F10">
        <v>0.48867633497506641</v>
      </c>
      <c r="G10">
        <v>0.54399341200156903</v>
      </c>
      <c r="H10">
        <v>0.37404431671467536</v>
      </c>
      <c r="I10">
        <v>-0.61380827186639575</v>
      </c>
      <c r="J10">
        <v>1</v>
      </c>
    </row>
    <row r="11" spans="1:11" ht="15.75" thickBot="1">
      <c r="A11" s="48" t="s">
        <v>9</v>
      </c>
      <c r="B11" s="13">
        <v>4.3128321447821666E-2</v>
      </c>
      <c r="C11" s="13">
        <v>-0.37695456500459562</v>
      </c>
      <c r="D11" s="13">
        <v>-0.48372516002837296</v>
      </c>
      <c r="E11" s="13">
        <v>-0.42732077237328164</v>
      </c>
      <c r="F11" s="13">
        <v>-0.38162623063977752</v>
      </c>
      <c r="G11" s="13">
        <v>-0.46853593356776635</v>
      </c>
      <c r="H11" s="13">
        <v>-0.50778668553756101</v>
      </c>
      <c r="I11" s="13">
        <v>0.69535994707153892</v>
      </c>
      <c r="J11" s="13">
        <v>-0.7376627261740144</v>
      </c>
      <c r="K11" s="13">
        <v>1</v>
      </c>
    </row>
    <row r="14" spans="1:11">
      <c r="A14" s="43" t="s">
        <v>113</v>
      </c>
    </row>
    <row r="15" spans="1:11">
      <c r="A15" t="s">
        <v>114</v>
      </c>
      <c r="B15" s="49">
        <v>0.91022818853318221</v>
      </c>
      <c r="C15" t="s">
        <v>116</v>
      </c>
    </row>
    <row r="16" spans="1:11">
      <c r="A16" t="s">
        <v>101</v>
      </c>
      <c r="B16" s="49">
        <v>0.76365144692091447</v>
      </c>
      <c r="C16" t="s">
        <v>117</v>
      </c>
    </row>
    <row r="17" spans="1:3">
      <c r="A17" t="s">
        <v>115</v>
      </c>
      <c r="B17" s="49">
        <v>0.73147010378595712</v>
      </c>
      <c r="C17" t="s">
        <v>118</v>
      </c>
    </row>
    <row r="19" spans="1:3">
      <c r="A19" s="43" t="s">
        <v>119</v>
      </c>
    </row>
    <row r="20" spans="1:3">
      <c r="A20" t="s">
        <v>120</v>
      </c>
      <c r="B20" s="49">
        <v>-0.7376627261740144</v>
      </c>
      <c r="C20" t="s">
        <v>121</v>
      </c>
    </row>
    <row r="21" spans="1:3">
      <c r="A21" t="s">
        <v>124</v>
      </c>
      <c r="B21" s="49">
        <v>-0.61380827186639575</v>
      </c>
      <c r="C21" t="s">
        <v>122</v>
      </c>
    </row>
    <row r="22" spans="1:3">
      <c r="A22" t="s">
        <v>123</v>
      </c>
      <c r="B22" s="49">
        <v>-0.50778668553756101</v>
      </c>
      <c r="C22" t="s">
        <v>125</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3A290-8343-45F1-A5A3-5B668A9F0B6E}">
  <dimension ref="A1:T530"/>
  <sheetViews>
    <sheetView topLeftCell="F1" workbookViewId="0">
      <selection activeCell="X6" sqref="X6"/>
    </sheetView>
  </sheetViews>
  <sheetFormatPr defaultRowHeight="15"/>
  <cols>
    <col min="1" max="1" width="18" bestFit="1" customWidth="1"/>
    <col min="2" max="2" width="19" bestFit="1" customWidth="1"/>
    <col min="3" max="3" width="14.5703125" bestFit="1" customWidth="1"/>
    <col min="4" max="4" width="9.42578125" customWidth="1"/>
    <col min="6" max="6" width="13.42578125" bestFit="1" customWidth="1"/>
    <col min="7" max="7" width="12" bestFit="1" customWidth="1"/>
    <col min="8" max="8" width="12.42578125" bestFit="1" customWidth="1"/>
    <col min="9" max="9" width="12.5703125" bestFit="1" customWidth="1"/>
    <col min="17" max="17" width="3.140625" style="50" customWidth="1"/>
  </cols>
  <sheetData>
    <row r="1" spans="1:20">
      <c r="A1" t="s">
        <v>127</v>
      </c>
      <c r="R1" t="s">
        <v>163</v>
      </c>
    </row>
    <row r="2" spans="1:20" ht="15.75" thickBot="1">
      <c r="R2" t="s">
        <v>170</v>
      </c>
      <c r="S2" t="s">
        <v>164</v>
      </c>
    </row>
    <row r="3" spans="1:20">
      <c r="A3" s="44" t="s">
        <v>128</v>
      </c>
      <c r="B3" s="44"/>
      <c r="S3" s="45" t="s">
        <v>165</v>
      </c>
      <c r="T3" t="s">
        <v>166</v>
      </c>
    </row>
    <row r="4" spans="1:20">
      <c r="A4" t="s">
        <v>129</v>
      </c>
      <c r="B4">
        <v>0.73766272617401518</v>
      </c>
      <c r="C4" s="45" t="s">
        <v>158</v>
      </c>
      <c r="S4" s="45" t="s">
        <v>167</v>
      </c>
      <c r="T4" t="s">
        <v>168</v>
      </c>
    </row>
    <row r="5" spans="1:20">
      <c r="A5" t="s">
        <v>130</v>
      </c>
      <c r="B5">
        <v>0.54414629758648014</v>
      </c>
      <c r="C5" s="45" t="s">
        <v>157</v>
      </c>
      <c r="S5" s="45" t="s">
        <v>137</v>
      </c>
      <c r="T5" t="s">
        <v>169</v>
      </c>
    </row>
    <row r="6" spans="1:20">
      <c r="A6" t="s">
        <v>131</v>
      </c>
      <c r="B6">
        <v>0.54324182595470727</v>
      </c>
      <c r="S6" s="45" t="s">
        <v>171</v>
      </c>
      <c r="T6" t="s">
        <v>172</v>
      </c>
    </row>
    <row r="7" spans="1:20">
      <c r="A7" t="s">
        <v>27</v>
      </c>
      <c r="B7">
        <v>6215.7604053980658</v>
      </c>
      <c r="C7" s="45" t="s">
        <v>159</v>
      </c>
    </row>
    <row r="8" spans="1:20" ht="15.75" thickBot="1">
      <c r="A8" s="13" t="s">
        <v>132</v>
      </c>
      <c r="B8" s="13">
        <v>506</v>
      </c>
      <c r="C8" s="45" t="s">
        <v>160</v>
      </c>
      <c r="R8" t="s">
        <v>173</v>
      </c>
      <c r="S8" t="s">
        <v>174</v>
      </c>
    </row>
    <row r="9" spans="1:20">
      <c r="S9" s="45" t="s">
        <v>176</v>
      </c>
    </row>
    <row r="10" spans="1:20" ht="15.75" thickBot="1">
      <c r="A10" t="s">
        <v>133</v>
      </c>
    </row>
    <row r="11" spans="1:20">
      <c r="A11" s="15"/>
      <c r="B11" s="15" t="s">
        <v>138</v>
      </c>
      <c r="C11" s="15" t="s">
        <v>139</v>
      </c>
      <c r="D11" s="15" t="s">
        <v>140</v>
      </c>
      <c r="E11" s="15" t="s">
        <v>141</v>
      </c>
      <c r="F11" s="15" t="s">
        <v>142</v>
      </c>
    </row>
    <row r="12" spans="1:20">
      <c r="A12" t="s">
        <v>134</v>
      </c>
      <c r="B12">
        <v>1</v>
      </c>
      <c r="C12">
        <v>23243913996.69334</v>
      </c>
      <c r="D12">
        <v>23243913996.69334</v>
      </c>
      <c r="E12">
        <v>601.61787110989621</v>
      </c>
      <c r="F12">
        <v>5.0811033943864019E-88</v>
      </c>
    </row>
    <row r="13" spans="1:20">
      <c r="A13" t="s">
        <v>135</v>
      </c>
      <c r="B13">
        <v>504</v>
      </c>
      <c r="C13">
        <v>19472381418.32642</v>
      </c>
      <c r="D13">
        <v>38635677.417314328</v>
      </c>
    </row>
    <row r="14" spans="1:20" ht="15.75" thickBot="1">
      <c r="A14" s="13" t="s">
        <v>136</v>
      </c>
      <c r="B14" s="13">
        <v>505</v>
      </c>
      <c r="C14" s="13">
        <v>42716295415.01976</v>
      </c>
      <c r="D14" s="13"/>
      <c r="E14" s="13"/>
      <c r="F14" s="13"/>
    </row>
    <row r="15" spans="1:20" ht="15.75" thickBot="1"/>
    <row r="16" spans="1:20">
      <c r="A16" s="15"/>
      <c r="B16" s="15" t="s">
        <v>143</v>
      </c>
      <c r="C16" s="15" t="s">
        <v>27</v>
      </c>
      <c r="D16" s="15" t="s">
        <v>144</v>
      </c>
      <c r="E16" s="15" t="s">
        <v>145</v>
      </c>
      <c r="F16" s="15" t="s">
        <v>146</v>
      </c>
      <c r="G16" s="15" t="s">
        <v>147</v>
      </c>
      <c r="H16" s="15" t="s">
        <v>148</v>
      </c>
      <c r="I16" s="15" t="s">
        <v>149</v>
      </c>
    </row>
    <row r="17" spans="1:9">
      <c r="A17" t="s">
        <v>137</v>
      </c>
      <c r="B17">
        <v>34553.840879383104</v>
      </c>
      <c r="C17">
        <v>562.62735498843278</v>
      </c>
      <c r="D17">
        <v>61.415145518641744</v>
      </c>
      <c r="E17">
        <v>3.743080940927036E-236</v>
      </c>
      <c r="F17">
        <v>33448.457040422654</v>
      </c>
      <c r="G17">
        <v>35659.224718343554</v>
      </c>
      <c r="H17">
        <v>33448.457040422654</v>
      </c>
      <c r="I17">
        <v>35659.224718343554</v>
      </c>
    </row>
    <row r="18" spans="1:9" ht="15.75" thickBot="1">
      <c r="A18" s="13" t="s">
        <v>2</v>
      </c>
      <c r="B18" s="13">
        <v>-950.04935375799084</v>
      </c>
      <c r="C18" s="13">
        <v>38.733416212639398</v>
      </c>
      <c r="D18" s="13">
        <v>-24.527899851187744</v>
      </c>
      <c r="E18" s="13">
        <v>5.0811033943869812E-88</v>
      </c>
      <c r="F18" s="13">
        <v>-1026.1481995207616</v>
      </c>
      <c r="G18" s="13">
        <v>-873.95050799522016</v>
      </c>
      <c r="H18" s="13">
        <v>-1026.1481995207616</v>
      </c>
      <c r="I18" s="13">
        <v>-873.95050799522016</v>
      </c>
    </row>
    <row r="19" spans="1:9">
      <c r="B19" s="45" t="s">
        <v>155</v>
      </c>
    </row>
    <row r="20" spans="1:9">
      <c r="B20" s="45" t="s">
        <v>156</v>
      </c>
      <c r="C20" s="45" t="s">
        <v>161</v>
      </c>
      <c r="D20" s="45" t="s">
        <v>162</v>
      </c>
      <c r="E20" s="45" t="s">
        <v>175</v>
      </c>
    </row>
    <row r="22" spans="1:9">
      <c r="A22" t="s">
        <v>150</v>
      </c>
    </row>
    <row r="23" spans="1:9" ht="15.75" thickBot="1"/>
    <row r="24" spans="1:9">
      <c r="A24" s="15" t="s">
        <v>50</v>
      </c>
      <c r="B24" s="15" t="s">
        <v>151</v>
      </c>
      <c r="C24" s="15" t="s">
        <v>152</v>
      </c>
    </row>
    <row r="25" spans="1:9">
      <c r="A25">
        <v>1</v>
      </c>
      <c r="B25">
        <v>29822.595097668309</v>
      </c>
      <c r="C25">
        <v>-5822.5950976683089</v>
      </c>
      <c r="D25" t="s">
        <v>153</v>
      </c>
    </row>
    <row r="26" spans="1:9">
      <c r="A26">
        <v>2</v>
      </c>
      <c r="B26">
        <v>25870.38978603507</v>
      </c>
      <c r="C26">
        <v>-4270.3897860350698</v>
      </c>
    </row>
    <row r="27" spans="1:9">
      <c r="A27">
        <v>3</v>
      </c>
      <c r="B27">
        <v>30725.141983738402</v>
      </c>
      <c r="C27">
        <v>3974.8580162615981</v>
      </c>
      <c r="D27" t="s">
        <v>154</v>
      </c>
    </row>
    <row r="28" spans="1:9">
      <c r="A28">
        <v>4</v>
      </c>
      <c r="B28">
        <v>31760.695779334612</v>
      </c>
      <c r="C28">
        <v>1639.3042206653881</v>
      </c>
    </row>
    <row r="29" spans="1:9">
      <c r="A29">
        <v>5</v>
      </c>
      <c r="B29">
        <v>29490.077823853011</v>
      </c>
      <c r="C29">
        <v>6709.9221761469889</v>
      </c>
    </row>
    <row r="30" spans="1:9">
      <c r="A30">
        <v>6</v>
      </c>
      <c r="B30">
        <v>29604.083746303972</v>
      </c>
      <c r="C30">
        <v>-904.08374630397157</v>
      </c>
    </row>
    <row r="31" spans="1:9">
      <c r="A31">
        <v>7</v>
      </c>
      <c r="B31">
        <v>22744.727412171276</v>
      </c>
      <c r="C31">
        <v>155.27258782872377</v>
      </c>
    </row>
    <row r="32" spans="1:9">
      <c r="A32">
        <v>8</v>
      </c>
      <c r="B32">
        <v>16360.395754917579</v>
      </c>
      <c r="C32">
        <v>10739.604245082421</v>
      </c>
    </row>
    <row r="33" spans="1:3">
      <c r="A33">
        <v>9</v>
      </c>
      <c r="B33">
        <v>6118.8637214064402</v>
      </c>
      <c r="C33">
        <v>10381.13627859356</v>
      </c>
    </row>
    <row r="34" spans="1:3">
      <c r="A34">
        <v>10</v>
      </c>
      <c r="B34">
        <v>18307.996930121459</v>
      </c>
      <c r="C34">
        <v>592.00306987854128</v>
      </c>
    </row>
    <row r="35" spans="1:3">
      <c r="A35">
        <v>11</v>
      </c>
      <c r="B35">
        <v>15125.331595032192</v>
      </c>
      <c r="C35">
        <v>-125.33159503219213</v>
      </c>
    </row>
    <row r="36" spans="1:3">
      <c r="A36">
        <v>12</v>
      </c>
      <c r="B36">
        <v>21946.685955014567</v>
      </c>
      <c r="C36">
        <v>-3046.6859550145673</v>
      </c>
    </row>
    <row r="37" spans="1:3">
      <c r="A37">
        <v>13</v>
      </c>
      <c r="B37">
        <v>19628.565531845066</v>
      </c>
      <c r="C37">
        <v>2071.4344681549337</v>
      </c>
    </row>
    <row r="38" spans="1:3">
      <c r="A38">
        <v>14</v>
      </c>
      <c r="B38">
        <v>26706.433217342099</v>
      </c>
      <c r="C38">
        <v>-6306.4332173420989</v>
      </c>
    </row>
    <row r="39" spans="1:3">
      <c r="A39">
        <v>15</v>
      </c>
      <c r="B39">
        <v>24806.33450982612</v>
      </c>
      <c r="C39">
        <v>-6606.3345098261198</v>
      </c>
    </row>
    <row r="40" spans="1:3">
      <c r="A40">
        <v>16</v>
      </c>
      <c r="B40">
        <v>26506.922853052922</v>
      </c>
      <c r="C40">
        <v>-6606.9228530529217</v>
      </c>
    </row>
    <row r="41" spans="1:3">
      <c r="A41">
        <v>17</v>
      </c>
      <c r="B41">
        <v>28302.516131655524</v>
      </c>
      <c r="C41">
        <v>-5202.5161316555241</v>
      </c>
    </row>
    <row r="42" spans="1:3">
      <c r="A42">
        <v>18</v>
      </c>
      <c r="B42">
        <v>20616.616859753376</v>
      </c>
      <c r="C42">
        <v>-3116.616859753376</v>
      </c>
    </row>
    <row r="43" spans="1:3">
      <c r="A43">
        <v>19</v>
      </c>
      <c r="B43">
        <v>23447.763933952192</v>
      </c>
      <c r="C43">
        <v>-3247.763933952192</v>
      </c>
    </row>
    <row r="44" spans="1:3">
      <c r="A44">
        <v>20</v>
      </c>
      <c r="B44">
        <v>23837.28416899297</v>
      </c>
      <c r="C44">
        <v>-5637.2841689929701</v>
      </c>
    </row>
    <row r="45" spans="1:3">
      <c r="A45">
        <v>21</v>
      </c>
      <c r="B45">
        <v>14583.803463390137</v>
      </c>
      <c r="C45">
        <v>-983.80346339013704</v>
      </c>
    </row>
    <row r="46" spans="1:3">
      <c r="A46">
        <v>22</v>
      </c>
      <c r="B46">
        <v>21414.658316910092</v>
      </c>
      <c r="C46">
        <v>-1814.6583169100923</v>
      </c>
    </row>
    <row r="47" spans="1:3">
      <c r="A47">
        <v>23</v>
      </c>
      <c r="B47">
        <v>16768.916977033517</v>
      </c>
      <c r="C47">
        <v>-1568.9169770335175</v>
      </c>
    </row>
    <row r="48" spans="1:3">
      <c r="A48">
        <v>24</v>
      </c>
      <c r="B48">
        <v>15666.859726674247</v>
      </c>
      <c r="C48">
        <v>-1166.8597266742472</v>
      </c>
    </row>
    <row r="49" spans="1:3">
      <c r="A49">
        <v>25</v>
      </c>
      <c r="B49">
        <v>19068.036413127855</v>
      </c>
      <c r="C49">
        <v>-3468.0364131278548</v>
      </c>
    </row>
    <row r="50" spans="1:3">
      <c r="A50">
        <v>26</v>
      </c>
      <c r="B50">
        <v>18868.526048838674</v>
      </c>
      <c r="C50">
        <v>-4968.5260488386739</v>
      </c>
    </row>
    <row r="51" spans="1:3">
      <c r="A51">
        <v>27</v>
      </c>
      <c r="B51">
        <v>20483.609950227259</v>
      </c>
      <c r="C51">
        <v>-3883.6099502272591</v>
      </c>
    </row>
    <row r="52" spans="1:3">
      <c r="A52">
        <v>28</v>
      </c>
      <c r="B52">
        <v>18136.988046445022</v>
      </c>
      <c r="C52">
        <v>-3336.9880464450216</v>
      </c>
    </row>
    <row r="53" spans="1:3">
      <c r="A53">
        <v>29</v>
      </c>
      <c r="B53">
        <v>22393.209151280818</v>
      </c>
      <c r="C53">
        <v>-3993.2091512808183</v>
      </c>
    </row>
    <row r="54" spans="1:3">
      <c r="A54">
        <v>30</v>
      </c>
      <c r="B54">
        <v>23172.249621362374</v>
      </c>
      <c r="C54">
        <v>-2172.2496213623745</v>
      </c>
    </row>
    <row r="55" spans="1:3">
      <c r="A55">
        <v>31</v>
      </c>
      <c r="B55">
        <v>13082.725484452509</v>
      </c>
      <c r="C55">
        <v>-382.72548445250868</v>
      </c>
    </row>
    <row r="56" spans="1:3">
      <c r="A56">
        <v>32</v>
      </c>
      <c r="B56">
        <v>22165.197306378905</v>
      </c>
      <c r="C56">
        <v>-7665.1973063789046</v>
      </c>
    </row>
    <row r="57" spans="1:3">
      <c r="A57">
        <v>33</v>
      </c>
      <c r="B57">
        <v>8227.9732867491766</v>
      </c>
      <c r="C57">
        <v>4972.0267132508234</v>
      </c>
    </row>
    <row r="58" spans="1:3">
      <c r="A58">
        <v>34</v>
      </c>
      <c r="B58">
        <v>17120.435237923972</v>
      </c>
      <c r="C58">
        <v>-4020.4352379239717</v>
      </c>
    </row>
    <row r="59" spans="1:3">
      <c r="A59">
        <v>35</v>
      </c>
      <c r="B59">
        <v>15229.837023945569</v>
      </c>
      <c r="C59">
        <v>-1729.8370239455689</v>
      </c>
    </row>
    <row r="60" spans="1:3">
      <c r="A60">
        <v>36</v>
      </c>
      <c r="B60">
        <v>25357.363135005755</v>
      </c>
      <c r="C60">
        <v>-6457.3631350057549</v>
      </c>
    </row>
    <row r="61" spans="1:3">
      <c r="A61">
        <v>37</v>
      </c>
      <c r="B61">
        <v>23713.777753004426</v>
      </c>
      <c r="C61">
        <v>-3713.7777530044259</v>
      </c>
    </row>
    <row r="62" spans="1:3">
      <c r="A62">
        <v>38</v>
      </c>
      <c r="B62">
        <v>26221.908046925524</v>
      </c>
      <c r="C62">
        <v>-5221.9080469255241</v>
      </c>
    </row>
    <row r="63" spans="1:3">
      <c r="A63">
        <v>39</v>
      </c>
      <c r="B63">
        <v>24929.840925814657</v>
      </c>
      <c r="C63">
        <v>-229.84092581465666</v>
      </c>
    </row>
    <row r="64" spans="1:3">
      <c r="A64">
        <v>40</v>
      </c>
      <c r="B64">
        <v>30449.627671148584</v>
      </c>
      <c r="C64">
        <v>350.37232885141566</v>
      </c>
    </row>
    <row r="65" spans="1:3">
      <c r="A65">
        <v>41</v>
      </c>
      <c r="B65">
        <v>32672.743158942281</v>
      </c>
      <c r="C65">
        <v>2227.2568410577187</v>
      </c>
    </row>
    <row r="66" spans="1:3">
      <c r="A66">
        <v>42</v>
      </c>
      <c r="B66">
        <v>29955.602007194429</v>
      </c>
      <c r="C66">
        <v>-3355.6020071944295</v>
      </c>
    </row>
    <row r="67" spans="1:3">
      <c r="A67">
        <v>43</v>
      </c>
      <c r="B67">
        <v>29034.054134049176</v>
      </c>
      <c r="C67">
        <v>-3734.0541340491764</v>
      </c>
    </row>
    <row r="68" spans="1:3">
      <c r="A68">
        <v>44</v>
      </c>
      <c r="B68">
        <v>27485.473687423651</v>
      </c>
      <c r="C68">
        <v>-2785.4736874236514</v>
      </c>
    </row>
    <row r="69" spans="1:3">
      <c r="A69">
        <v>45</v>
      </c>
      <c r="B69">
        <v>25480.869550994292</v>
      </c>
      <c r="C69">
        <v>-4280.8695509942918</v>
      </c>
    </row>
    <row r="70" spans="1:3">
      <c r="A70">
        <v>46</v>
      </c>
      <c r="B70">
        <v>24853.836977514016</v>
      </c>
      <c r="C70">
        <v>-5553.8369775140163</v>
      </c>
    </row>
    <row r="71" spans="1:3">
      <c r="A71">
        <v>47</v>
      </c>
      <c r="B71">
        <v>21110.642523707531</v>
      </c>
      <c r="C71">
        <v>-1110.6425237075309</v>
      </c>
    </row>
    <row r="72" spans="1:3">
      <c r="A72">
        <v>48</v>
      </c>
      <c r="B72">
        <v>16692.913028732877</v>
      </c>
      <c r="C72">
        <v>-92.913028732877137</v>
      </c>
    </row>
    <row r="73" spans="1:3">
      <c r="A73">
        <v>49</v>
      </c>
      <c r="B73">
        <v>5282.8202900994074</v>
      </c>
      <c r="C73">
        <v>9117.1797099005926</v>
      </c>
    </row>
    <row r="74" spans="1:3">
      <c r="A74">
        <v>50</v>
      </c>
      <c r="B74">
        <v>19163.041348503655</v>
      </c>
      <c r="C74">
        <v>236.95865149634483</v>
      </c>
    </row>
    <row r="75" spans="1:3">
      <c r="A75">
        <v>51</v>
      </c>
      <c r="B75">
        <v>21775.677071338127</v>
      </c>
      <c r="C75">
        <v>-2075.6770713381266</v>
      </c>
    </row>
    <row r="76" spans="1:3">
      <c r="A76">
        <v>52</v>
      </c>
      <c r="B76">
        <v>25594.875473445252</v>
      </c>
      <c r="C76">
        <v>-5094.8754734452523</v>
      </c>
    </row>
    <row r="77" spans="1:3">
      <c r="A77">
        <v>53</v>
      </c>
      <c r="B77">
        <v>29537.580291540911</v>
      </c>
      <c r="C77">
        <v>-4537.5802915409113</v>
      </c>
    </row>
    <row r="78" spans="1:3">
      <c r="A78">
        <v>54</v>
      </c>
      <c r="B78">
        <v>26544.924827203242</v>
      </c>
      <c r="C78">
        <v>-3144.9248272032419</v>
      </c>
    </row>
    <row r="79" spans="1:3">
      <c r="A79">
        <v>55</v>
      </c>
      <c r="B79">
        <v>20493.110443764839</v>
      </c>
      <c r="C79">
        <v>-1593.1104437648391</v>
      </c>
    </row>
    <row r="80" spans="1:3">
      <c r="A80">
        <v>56</v>
      </c>
      <c r="B80">
        <v>29984.10348780717</v>
      </c>
      <c r="C80">
        <v>5415.8965121928304</v>
      </c>
    </row>
    <row r="81" spans="1:3">
      <c r="A81">
        <v>57</v>
      </c>
      <c r="B81">
        <v>29072.056108199497</v>
      </c>
      <c r="C81">
        <v>-4372.0561081994965</v>
      </c>
    </row>
    <row r="82" spans="1:3">
      <c r="A82">
        <v>58</v>
      </c>
      <c r="B82">
        <v>30801.145932039039</v>
      </c>
      <c r="C82">
        <v>798.8540679609614</v>
      </c>
    </row>
    <row r="83" spans="1:3">
      <c r="A83">
        <v>59</v>
      </c>
      <c r="B83">
        <v>28036.502312603287</v>
      </c>
      <c r="C83">
        <v>-4736.5023126032866</v>
      </c>
    </row>
    <row r="84" spans="1:3">
      <c r="A84">
        <v>60</v>
      </c>
      <c r="B84">
        <v>25794.38583773443</v>
      </c>
      <c r="C84">
        <v>-6194.3858377344295</v>
      </c>
    </row>
    <row r="85" spans="1:3">
      <c r="A85">
        <v>61</v>
      </c>
      <c r="B85">
        <v>22060.691877465524</v>
      </c>
      <c r="C85">
        <v>-3360.6918774655242</v>
      </c>
    </row>
    <row r="86" spans="1:3">
      <c r="A86">
        <v>62</v>
      </c>
      <c r="B86">
        <v>20835.128211117717</v>
      </c>
      <c r="C86">
        <v>-4835.128211117717</v>
      </c>
    </row>
    <row r="87" spans="1:3">
      <c r="A87">
        <v>63</v>
      </c>
      <c r="B87">
        <v>28160.008728591827</v>
      </c>
      <c r="C87">
        <v>-5960.0087285918271</v>
      </c>
    </row>
    <row r="88" spans="1:3">
      <c r="A88">
        <v>64</v>
      </c>
      <c r="B88">
        <v>25528.372018682188</v>
      </c>
      <c r="C88">
        <v>-528.37201868218835</v>
      </c>
    </row>
    <row r="89" spans="1:3">
      <c r="A89">
        <v>65</v>
      </c>
      <c r="B89">
        <v>26905.943581631276</v>
      </c>
      <c r="C89">
        <v>6094.0564183687238</v>
      </c>
    </row>
    <row r="90" spans="1:3">
      <c r="A90">
        <v>66</v>
      </c>
      <c r="B90">
        <v>30117.110397333287</v>
      </c>
      <c r="C90">
        <v>-6617.1103973332865</v>
      </c>
    </row>
    <row r="91" spans="1:3">
      <c r="A91">
        <v>67</v>
      </c>
      <c r="B91">
        <v>24825.33549690128</v>
      </c>
      <c r="C91">
        <v>-5425.3354969012798</v>
      </c>
    </row>
    <row r="92" spans="1:3">
      <c r="A92">
        <v>68</v>
      </c>
      <c r="B92">
        <v>26858.44111394338</v>
      </c>
      <c r="C92">
        <v>-4858.4411139433796</v>
      </c>
    </row>
    <row r="93" spans="1:3">
      <c r="A93">
        <v>69</v>
      </c>
      <c r="B93">
        <v>22117.694838691004</v>
      </c>
      <c r="C93">
        <v>-4717.6948386910044</v>
      </c>
    </row>
    <row r="94" spans="1:3">
      <c r="A94">
        <v>70</v>
      </c>
      <c r="B94">
        <v>26202.907059850368</v>
      </c>
      <c r="C94">
        <v>-5302.9070598503677</v>
      </c>
    </row>
    <row r="95" spans="1:3">
      <c r="A95">
        <v>71</v>
      </c>
      <c r="B95">
        <v>28169.509222129407</v>
      </c>
      <c r="C95">
        <v>-3969.5092221294071</v>
      </c>
    </row>
    <row r="96" spans="1:3">
      <c r="A96">
        <v>72</v>
      </c>
      <c r="B96">
        <v>25167.353264254154</v>
      </c>
      <c r="C96">
        <v>-3467.3532642541541</v>
      </c>
    </row>
    <row r="97" spans="1:3">
      <c r="A97">
        <v>73</v>
      </c>
      <c r="B97">
        <v>29309.568446638994</v>
      </c>
      <c r="C97">
        <v>-6509.5684466389939</v>
      </c>
    </row>
    <row r="98" spans="1:3">
      <c r="A98">
        <v>74</v>
      </c>
      <c r="B98">
        <v>27390.468752047855</v>
      </c>
      <c r="C98">
        <v>-3990.4687520478547</v>
      </c>
    </row>
    <row r="99" spans="1:3">
      <c r="A99">
        <v>75</v>
      </c>
      <c r="B99">
        <v>28112.506260903927</v>
      </c>
      <c r="C99">
        <v>-4012.5062609039269</v>
      </c>
    </row>
    <row r="100" spans="1:3">
      <c r="A100">
        <v>76</v>
      </c>
      <c r="B100">
        <v>26060.399656786667</v>
      </c>
      <c r="C100">
        <v>-4660.399656786667</v>
      </c>
    </row>
    <row r="101" spans="1:3">
      <c r="A101">
        <v>77</v>
      </c>
      <c r="B101">
        <v>23181.750114899951</v>
      </c>
      <c r="C101">
        <v>-3181.7501148999509</v>
      </c>
    </row>
    <row r="102" spans="1:3">
      <c r="A102">
        <v>78</v>
      </c>
      <c r="B102">
        <v>24796.834016288536</v>
      </c>
      <c r="C102">
        <v>-3996.8340162885361</v>
      </c>
    </row>
    <row r="103" spans="1:3">
      <c r="A103">
        <v>79</v>
      </c>
      <c r="B103">
        <v>22830.231854009497</v>
      </c>
      <c r="C103">
        <v>-1630.2318540094966</v>
      </c>
    </row>
    <row r="104" spans="1:3">
      <c r="A104">
        <v>80</v>
      </c>
      <c r="B104">
        <v>25908.39176018539</v>
      </c>
      <c r="C104">
        <v>-5608.39176018539</v>
      </c>
    </row>
    <row r="105" spans="1:3">
      <c r="A105">
        <v>81</v>
      </c>
      <c r="B105">
        <v>29528.079798003331</v>
      </c>
      <c r="C105">
        <v>-1528.0797980033312</v>
      </c>
    </row>
    <row r="106" spans="1:3">
      <c r="A106">
        <v>82</v>
      </c>
      <c r="B106">
        <v>27694.484545250409</v>
      </c>
      <c r="C106">
        <v>-3794.4845452504087</v>
      </c>
    </row>
    <row r="107" spans="1:3">
      <c r="A107">
        <v>83</v>
      </c>
      <c r="B107">
        <v>28169.509222129407</v>
      </c>
      <c r="C107">
        <v>-3369.5092221294071</v>
      </c>
    </row>
    <row r="108" spans="1:3">
      <c r="A108">
        <v>84</v>
      </c>
      <c r="B108">
        <v>27418.970232660591</v>
      </c>
      <c r="C108">
        <v>-4518.9702326605911</v>
      </c>
    </row>
    <row r="109" spans="1:3">
      <c r="A109">
        <v>85</v>
      </c>
      <c r="B109">
        <v>25414.366096231235</v>
      </c>
      <c r="C109">
        <v>-1514.3660962312351</v>
      </c>
    </row>
    <row r="110" spans="1:3">
      <c r="A110">
        <v>86</v>
      </c>
      <c r="B110">
        <v>28350.018599343424</v>
      </c>
      <c r="C110">
        <v>-1750.0185993434243</v>
      </c>
    </row>
    <row r="111" spans="1:3">
      <c r="A111">
        <v>87</v>
      </c>
      <c r="B111">
        <v>22336.206190055342</v>
      </c>
      <c r="C111">
        <v>163.79380994465828</v>
      </c>
    </row>
    <row r="112" spans="1:3">
      <c r="A112">
        <v>88</v>
      </c>
      <c r="B112">
        <v>26535.424333665662</v>
      </c>
      <c r="C112">
        <v>-4335.4243336656618</v>
      </c>
    </row>
    <row r="113" spans="1:3">
      <c r="A113">
        <v>89</v>
      </c>
      <c r="B113">
        <v>29328.569433714154</v>
      </c>
      <c r="C113">
        <v>-5728.569433714154</v>
      </c>
    </row>
    <row r="114" spans="1:3">
      <c r="A114">
        <v>90</v>
      </c>
      <c r="B114">
        <v>29138.559562962557</v>
      </c>
      <c r="C114">
        <v>-438.55956296255681</v>
      </c>
    </row>
    <row r="115" spans="1:3">
      <c r="A115">
        <v>91</v>
      </c>
      <c r="B115">
        <v>26183.906072775204</v>
      </c>
      <c r="C115">
        <v>-3583.9060727752039</v>
      </c>
    </row>
    <row r="116" spans="1:3">
      <c r="A116">
        <v>92</v>
      </c>
      <c r="B116">
        <v>26763.436178567579</v>
      </c>
      <c r="C116">
        <v>-4763.4361785675792</v>
      </c>
    </row>
    <row r="117" spans="1:3">
      <c r="A117">
        <v>93</v>
      </c>
      <c r="B117">
        <v>26801.438152717899</v>
      </c>
      <c r="C117">
        <v>-3901.4381527178994</v>
      </c>
    </row>
    <row r="118" spans="1:3">
      <c r="A118">
        <v>94</v>
      </c>
      <c r="B118">
        <v>28654.034392545982</v>
      </c>
      <c r="C118">
        <v>-3654.034392545982</v>
      </c>
    </row>
    <row r="119" spans="1:3">
      <c r="A119">
        <v>95</v>
      </c>
      <c r="B119">
        <v>24492.818223085982</v>
      </c>
      <c r="C119">
        <v>-3892.818223085982</v>
      </c>
    </row>
    <row r="120" spans="1:3">
      <c r="A120">
        <v>96</v>
      </c>
      <c r="B120">
        <v>28236.012676892464</v>
      </c>
      <c r="C120">
        <v>163.98732310753621</v>
      </c>
    </row>
    <row r="121" spans="1:3">
      <c r="A121">
        <v>97</v>
      </c>
      <c r="B121">
        <v>23780.28120776749</v>
      </c>
      <c r="C121">
        <v>-2380.2812077674898</v>
      </c>
    </row>
    <row r="122" spans="1:3">
      <c r="A122">
        <v>98</v>
      </c>
      <c r="B122">
        <v>30554.133100061961</v>
      </c>
      <c r="C122">
        <v>8145.8668999380388</v>
      </c>
    </row>
    <row r="123" spans="1:3">
      <c r="A123">
        <v>99</v>
      </c>
      <c r="B123">
        <v>31162.164686467077</v>
      </c>
      <c r="C123">
        <v>12637.835313532923</v>
      </c>
    </row>
    <row r="124" spans="1:3">
      <c r="A124">
        <v>100</v>
      </c>
      <c r="B124">
        <v>28673.035379621142</v>
      </c>
      <c r="C124">
        <v>4526.9646203788579</v>
      </c>
    </row>
    <row r="125" spans="1:3">
      <c r="A125">
        <v>101</v>
      </c>
      <c r="B125">
        <v>25604.375966982829</v>
      </c>
      <c r="C125">
        <v>1895.6240330171713</v>
      </c>
    </row>
    <row r="126" spans="1:3">
      <c r="A126">
        <v>102</v>
      </c>
      <c r="B126">
        <v>27266.962336059314</v>
      </c>
      <c r="C126">
        <v>-766.96233605931411</v>
      </c>
    </row>
    <row r="127" spans="1:3">
      <c r="A127">
        <v>103</v>
      </c>
      <c r="B127">
        <v>24454.816248935662</v>
      </c>
      <c r="C127">
        <v>-5854.8162489356619</v>
      </c>
    </row>
    <row r="128" spans="1:3">
      <c r="A128">
        <v>104</v>
      </c>
      <c r="B128">
        <v>21785.17756487571</v>
      </c>
      <c r="C128">
        <v>-2485.1775648757102</v>
      </c>
    </row>
    <row r="129" spans="1:3">
      <c r="A129">
        <v>105</v>
      </c>
      <c r="B129">
        <v>22839.732347547077</v>
      </c>
      <c r="C129">
        <v>-2739.7323475470766</v>
      </c>
    </row>
    <row r="130" spans="1:3">
      <c r="A130">
        <v>106</v>
      </c>
      <c r="B130">
        <v>18906.528022988998</v>
      </c>
      <c r="C130">
        <v>593.47197701100231</v>
      </c>
    </row>
    <row r="131" spans="1:3">
      <c r="A131">
        <v>107</v>
      </c>
      <c r="B131">
        <v>16825.919938258994</v>
      </c>
      <c r="C131">
        <v>2674.0800617410059</v>
      </c>
    </row>
    <row r="132" spans="1:3">
      <c r="A132">
        <v>108</v>
      </c>
      <c r="B132">
        <v>21167.645484933011</v>
      </c>
      <c r="C132">
        <v>-767.64548493301118</v>
      </c>
    </row>
    <row r="133" spans="1:3">
      <c r="A133">
        <v>109</v>
      </c>
      <c r="B133">
        <v>22896.735308772557</v>
      </c>
      <c r="C133">
        <v>-3096.7353087725569</v>
      </c>
    </row>
    <row r="134" spans="1:3">
      <c r="A134">
        <v>110</v>
      </c>
      <c r="B134">
        <v>19780.573428446347</v>
      </c>
      <c r="C134">
        <v>-380.57342844634695</v>
      </c>
    </row>
    <row r="135" spans="1:3">
      <c r="A135">
        <v>111</v>
      </c>
      <c r="B135">
        <v>22203.199280529225</v>
      </c>
      <c r="C135">
        <v>-503.19928052922478</v>
      </c>
    </row>
    <row r="136" spans="1:3">
      <c r="A136">
        <v>112</v>
      </c>
      <c r="B136">
        <v>24901.339445201917</v>
      </c>
      <c r="C136">
        <v>-2101.3394452019165</v>
      </c>
    </row>
    <row r="137" spans="1:3">
      <c r="A137">
        <v>113</v>
      </c>
      <c r="B137">
        <v>19153.540854966071</v>
      </c>
      <c r="C137">
        <v>-353.54085496607149</v>
      </c>
    </row>
    <row r="138" spans="1:3">
      <c r="A138">
        <v>114</v>
      </c>
      <c r="B138">
        <v>18317.497423659042</v>
      </c>
      <c r="C138">
        <v>382.5025763409576</v>
      </c>
    </row>
    <row r="139" spans="1:3">
      <c r="A139">
        <v>115</v>
      </c>
      <c r="B139">
        <v>24625.825132612103</v>
      </c>
      <c r="C139">
        <v>-6125.8251326121026</v>
      </c>
    </row>
    <row r="140" spans="1:3">
      <c r="A140">
        <v>116</v>
      </c>
      <c r="B140">
        <v>19581.06306415717</v>
      </c>
      <c r="C140">
        <v>-1281.0630641571697</v>
      </c>
    </row>
    <row r="141" spans="1:3">
      <c r="A141">
        <v>117</v>
      </c>
      <c r="B141">
        <v>23115.246660136894</v>
      </c>
      <c r="C141">
        <v>-1915.2466601368942</v>
      </c>
    </row>
    <row r="142" spans="1:3">
      <c r="A142">
        <v>118</v>
      </c>
      <c r="B142">
        <v>24768.3325356758</v>
      </c>
      <c r="C142">
        <v>-5568.3325356757996</v>
      </c>
    </row>
    <row r="143" spans="1:3">
      <c r="A143">
        <v>119</v>
      </c>
      <c r="B143">
        <v>19951.582312122788</v>
      </c>
      <c r="C143">
        <v>448.4176878772123</v>
      </c>
    </row>
    <row r="144" spans="1:3">
      <c r="A144">
        <v>120</v>
      </c>
      <c r="B144">
        <v>21623.66917473685</v>
      </c>
      <c r="C144">
        <v>-2323.6691747368495</v>
      </c>
    </row>
    <row r="145" spans="1:3">
      <c r="A145">
        <v>121</v>
      </c>
      <c r="B145">
        <v>20901.631665880777</v>
      </c>
      <c r="C145">
        <v>1098.3683341192227</v>
      </c>
    </row>
    <row r="146" spans="1:3">
      <c r="A146">
        <v>122</v>
      </c>
      <c r="B146">
        <v>20996.636601256578</v>
      </c>
      <c r="C146">
        <v>-696.63660125657771</v>
      </c>
    </row>
    <row r="147" spans="1:3">
      <c r="A147">
        <v>123</v>
      </c>
      <c r="B147">
        <v>17519.45596650233</v>
      </c>
      <c r="C147">
        <v>2980.5440334976702</v>
      </c>
    </row>
    <row r="148" spans="1:3">
      <c r="A148">
        <v>124</v>
      </c>
      <c r="B148">
        <v>10413.086800392557</v>
      </c>
      <c r="C148">
        <v>6886.9131996074429</v>
      </c>
    </row>
    <row r="149" spans="1:3">
      <c r="A149">
        <v>125</v>
      </c>
      <c r="B149">
        <v>17851.973240317628</v>
      </c>
      <c r="C149">
        <v>948.02675968237236</v>
      </c>
    </row>
    <row r="150" spans="1:3">
      <c r="A150">
        <v>126</v>
      </c>
      <c r="B150">
        <v>20483.609950227259</v>
      </c>
      <c r="C150">
        <v>916.39004977274089</v>
      </c>
    </row>
    <row r="151" spans="1:3">
      <c r="A151">
        <v>127</v>
      </c>
      <c r="B151">
        <v>8655.4954959402712</v>
      </c>
      <c r="C151">
        <v>7044.5045040597288</v>
      </c>
    </row>
    <row r="152" spans="1:3">
      <c r="A152">
        <v>128</v>
      </c>
      <c r="B152">
        <v>18222.492488283242</v>
      </c>
      <c r="C152">
        <v>-2022.492488283242</v>
      </c>
    </row>
    <row r="153" spans="1:3">
      <c r="A153">
        <v>129</v>
      </c>
      <c r="B153">
        <v>19932.581325047624</v>
      </c>
      <c r="C153">
        <v>-1932.581325047624</v>
      </c>
    </row>
    <row r="154" spans="1:3">
      <c r="A154">
        <v>130</v>
      </c>
      <c r="B154">
        <v>17129.935731461552</v>
      </c>
      <c r="C154">
        <v>-2829.9357314615518</v>
      </c>
    </row>
    <row r="155" spans="1:3">
      <c r="A155">
        <v>131</v>
      </c>
      <c r="B155">
        <v>22583.219022032419</v>
      </c>
      <c r="C155">
        <v>-3383.2190220324192</v>
      </c>
    </row>
    <row r="156" spans="1:3">
      <c r="A156">
        <v>132</v>
      </c>
      <c r="B156">
        <v>22906.235802310137</v>
      </c>
      <c r="C156">
        <v>-3306.2358023101369</v>
      </c>
    </row>
    <row r="157" spans="1:3">
      <c r="A157">
        <v>133</v>
      </c>
      <c r="B157">
        <v>23989.292065594247</v>
      </c>
      <c r="C157">
        <v>-989.29206559424711</v>
      </c>
    </row>
    <row r="158" spans="1:3">
      <c r="A158">
        <v>134</v>
      </c>
      <c r="B158">
        <v>20274.599092400502</v>
      </c>
      <c r="C158">
        <v>-1874.5990924005018</v>
      </c>
    </row>
    <row r="159" spans="1:3">
      <c r="A159">
        <v>135</v>
      </c>
      <c r="B159">
        <v>18108.486565832285</v>
      </c>
      <c r="C159">
        <v>-2508.4865658322851</v>
      </c>
    </row>
    <row r="160" spans="1:3">
      <c r="A160">
        <v>136</v>
      </c>
      <c r="B160">
        <v>18441.003839647579</v>
      </c>
      <c r="C160">
        <v>-341.0038396475793</v>
      </c>
    </row>
    <row r="161" spans="1:3">
      <c r="A161">
        <v>137</v>
      </c>
      <c r="B161">
        <v>18498.00680087306</v>
      </c>
      <c r="C161">
        <v>-1098.0068008730595</v>
      </c>
    </row>
    <row r="162" spans="1:3">
      <c r="A162">
        <v>138</v>
      </c>
      <c r="B162">
        <v>20692.620808054016</v>
      </c>
      <c r="C162">
        <v>-3592.6208080540164</v>
      </c>
    </row>
    <row r="163" spans="1:3">
      <c r="A163">
        <v>139</v>
      </c>
      <c r="B163">
        <v>14298.788657262739</v>
      </c>
      <c r="C163">
        <v>-998.78865726273943</v>
      </c>
    </row>
    <row r="164" spans="1:3">
      <c r="A164">
        <v>140</v>
      </c>
      <c r="B164">
        <v>17015.929809010591</v>
      </c>
      <c r="C164">
        <v>784.07019098940873</v>
      </c>
    </row>
    <row r="165" spans="1:3">
      <c r="A165">
        <v>141</v>
      </c>
      <c r="B165">
        <v>11600.648492590044</v>
      </c>
      <c r="C165">
        <v>2399.351507409956</v>
      </c>
    </row>
    <row r="166" spans="1:3">
      <c r="A166">
        <v>142</v>
      </c>
      <c r="B166">
        <v>1862.6426165706434</v>
      </c>
      <c r="C166">
        <v>12537.357383429357</v>
      </c>
    </row>
    <row r="167" spans="1:3">
      <c r="A167">
        <v>143</v>
      </c>
      <c r="B167">
        <v>9073.5172115937894</v>
      </c>
      <c r="C167">
        <v>4326.4827884062106</v>
      </c>
    </row>
    <row r="168" spans="1:3">
      <c r="A168">
        <v>144</v>
      </c>
      <c r="B168">
        <v>9453.5369530969838</v>
      </c>
      <c r="C168">
        <v>6146.4630469030162</v>
      </c>
    </row>
    <row r="169" spans="1:3">
      <c r="A169">
        <v>145</v>
      </c>
      <c r="B169">
        <v>6726.8953078115519</v>
      </c>
      <c r="C169">
        <v>5073.1046921884481</v>
      </c>
    </row>
    <row r="170" spans="1:3">
      <c r="A170">
        <v>146</v>
      </c>
      <c r="B170">
        <v>8142.4688449109562</v>
      </c>
      <c r="C170">
        <v>5657.5311550890438</v>
      </c>
    </row>
    <row r="171" spans="1:3">
      <c r="A171">
        <v>147</v>
      </c>
      <c r="B171">
        <v>18735.519139312557</v>
      </c>
      <c r="C171">
        <v>-3135.5191393125569</v>
      </c>
    </row>
    <row r="172" spans="1:3">
      <c r="A172">
        <v>148</v>
      </c>
      <c r="B172">
        <v>6498.8834629096345</v>
      </c>
      <c r="C172">
        <v>8101.1165370903655</v>
      </c>
    </row>
    <row r="173" spans="1:3">
      <c r="A173">
        <v>149</v>
      </c>
      <c r="B173">
        <v>7648.4431809568014</v>
      </c>
      <c r="C173">
        <v>10151.556819043199</v>
      </c>
    </row>
    <row r="174" spans="1:3">
      <c r="A174">
        <v>150</v>
      </c>
      <c r="B174">
        <v>14175.282241274203</v>
      </c>
      <c r="C174">
        <v>1224.7177587257975</v>
      </c>
    </row>
    <row r="175" spans="1:3">
      <c r="A175">
        <v>151</v>
      </c>
      <c r="B175">
        <v>21158.144991395435</v>
      </c>
      <c r="C175">
        <v>341.85500860456523</v>
      </c>
    </row>
    <row r="176" spans="1:3">
      <c r="A176">
        <v>152</v>
      </c>
      <c r="B176">
        <v>21937.185461476984</v>
      </c>
      <c r="C176">
        <v>-2337.1854614769836</v>
      </c>
    </row>
    <row r="177" spans="1:3">
      <c r="A177">
        <v>153</v>
      </c>
      <c r="B177">
        <v>23039.242711836254</v>
      </c>
      <c r="C177">
        <v>-7739.2427118362539</v>
      </c>
    </row>
    <row r="178" spans="1:3">
      <c r="A178">
        <v>154</v>
      </c>
      <c r="B178">
        <v>19552.56158354443</v>
      </c>
      <c r="C178">
        <v>-152.5615835444296</v>
      </c>
    </row>
    <row r="179" spans="1:3">
      <c r="A179">
        <v>155</v>
      </c>
      <c r="B179">
        <v>20189.094650562285</v>
      </c>
      <c r="C179">
        <v>-3189.0946505622851</v>
      </c>
    </row>
    <row r="180" spans="1:3">
      <c r="A180">
        <v>156</v>
      </c>
      <c r="B180">
        <v>20284.099585938082</v>
      </c>
      <c r="C180">
        <v>-4684.0995859380819</v>
      </c>
    </row>
    <row r="181" spans="1:3">
      <c r="A181">
        <v>157</v>
      </c>
      <c r="B181">
        <v>19220.044309729132</v>
      </c>
      <c r="C181">
        <v>-6120.0443097291318</v>
      </c>
    </row>
    <row r="182" spans="1:3">
      <c r="A182">
        <v>158</v>
      </c>
      <c r="B182">
        <v>30193.114345633927</v>
      </c>
      <c r="C182">
        <v>11106.885654366073</v>
      </c>
    </row>
    <row r="183" spans="1:3">
      <c r="A183">
        <v>159</v>
      </c>
      <c r="B183">
        <v>28445.023534719221</v>
      </c>
      <c r="C183">
        <v>-4145.0235347192211</v>
      </c>
    </row>
    <row r="184" spans="1:3">
      <c r="A184">
        <v>160</v>
      </c>
      <c r="B184">
        <v>27532.976155111552</v>
      </c>
      <c r="C184">
        <v>-4232.9761551115516</v>
      </c>
    </row>
    <row r="185" spans="1:3">
      <c r="A185">
        <v>161</v>
      </c>
      <c r="B185">
        <v>29328.569433714154</v>
      </c>
      <c r="C185">
        <v>-2328.569433714154</v>
      </c>
    </row>
    <row r="186" spans="1:3">
      <c r="A186">
        <v>162</v>
      </c>
      <c r="B186">
        <v>32910.255497381782</v>
      </c>
      <c r="C186">
        <v>17089.744502618218</v>
      </c>
    </row>
    <row r="187" spans="1:3">
      <c r="A187">
        <v>163</v>
      </c>
      <c r="B187">
        <v>32729.746120167762</v>
      </c>
      <c r="C187">
        <v>17270.253879832238</v>
      </c>
    </row>
    <row r="188" spans="1:3">
      <c r="A188">
        <v>164</v>
      </c>
      <c r="B188">
        <v>31399.677024906574</v>
      </c>
      <c r="C188">
        <v>18600.322975093426</v>
      </c>
    </row>
    <row r="189" spans="1:3">
      <c r="A189">
        <v>165</v>
      </c>
      <c r="B189">
        <v>23495.266401640089</v>
      </c>
      <c r="C189">
        <v>-795.26640164008859</v>
      </c>
    </row>
    <row r="190" spans="1:3">
      <c r="A190">
        <v>166</v>
      </c>
      <c r="B190">
        <v>25233.856719017211</v>
      </c>
      <c r="C190">
        <v>-233.85671901721071</v>
      </c>
    </row>
    <row r="191" spans="1:3">
      <c r="A191">
        <v>167</v>
      </c>
      <c r="B191">
        <v>31038.65827047854</v>
      </c>
      <c r="C191">
        <v>18961.34172952146</v>
      </c>
    </row>
    <row r="192" spans="1:3">
      <c r="A192">
        <v>168</v>
      </c>
      <c r="B192">
        <v>23020.241724761094</v>
      </c>
      <c r="C192">
        <v>779.75827523890621</v>
      </c>
    </row>
    <row r="193" spans="1:3">
      <c r="A193">
        <v>169</v>
      </c>
      <c r="B193">
        <v>24008.293052669404</v>
      </c>
      <c r="C193">
        <v>-208.29305266940355</v>
      </c>
    </row>
    <row r="194" spans="1:3">
      <c r="A194">
        <v>170</v>
      </c>
      <c r="B194">
        <v>23799.28219484265</v>
      </c>
      <c r="C194">
        <v>-1499.2821948426499</v>
      </c>
    </row>
    <row r="195" spans="1:3">
      <c r="A195">
        <v>171</v>
      </c>
      <c r="B195">
        <v>20844.628704655297</v>
      </c>
      <c r="C195">
        <v>-3444.628704655297</v>
      </c>
    </row>
    <row r="196" spans="1:3">
      <c r="A196">
        <v>172</v>
      </c>
      <c r="B196">
        <v>23124.747153674474</v>
      </c>
      <c r="C196">
        <v>-4024.7471536744742</v>
      </c>
    </row>
    <row r="197" spans="1:3">
      <c r="A197">
        <v>173</v>
      </c>
      <c r="B197">
        <v>20597.61587267822</v>
      </c>
      <c r="C197">
        <v>2502.3841273217804</v>
      </c>
    </row>
    <row r="198" spans="1:3">
      <c r="A198">
        <v>174</v>
      </c>
      <c r="B198">
        <v>25965.39472141087</v>
      </c>
      <c r="C198">
        <v>-2365.3947214108703</v>
      </c>
    </row>
    <row r="199" spans="1:3">
      <c r="A199">
        <v>175</v>
      </c>
      <c r="B199">
        <v>25395.365109156071</v>
      </c>
      <c r="C199">
        <v>-2795.3651091560714</v>
      </c>
    </row>
    <row r="200" spans="1:3">
      <c r="A200">
        <v>176</v>
      </c>
      <c r="B200">
        <v>29490.077823853011</v>
      </c>
      <c r="C200">
        <v>-90.077823853011068</v>
      </c>
    </row>
    <row r="201" spans="1:3">
      <c r="A201">
        <v>177</v>
      </c>
      <c r="B201">
        <v>24948.841912889817</v>
      </c>
      <c r="C201">
        <v>-1748.8419128898167</v>
      </c>
    </row>
    <row r="202" spans="1:3">
      <c r="A202">
        <v>178</v>
      </c>
      <c r="B202">
        <v>28578.030444245342</v>
      </c>
      <c r="C202">
        <v>-3978.0304442453416</v>
      </c>
    </row>
    <row r="203" spans="1:3">
      <c r="A203">
        <v>179</v>
      </c>
      <c r="B203">
        <v>27979.499351377806</v>
      </c>
      <c r="C203">
        <v>1920.5006486221937</v>
      </c>
    </row>
    <row r="204" spans="1:3">
      <c r="A204">
        <v>180</v>
      </c>
      <c r="B204">
        <v>29765.592136442829</v>
      </c>
      <c r="C204">
        <v>7434.4078635571714</v>
      </c>
    </row>
    <row r="205" spans="1:3">
      <c r="A205">
        <v>181</v>
      </c>
      <c r="B205">
        <v>27371.467764972695</v>
      </c>
      <c r="C205">
        <v>12428.532235027305</v>
      </c>
    </row>
    <row r="206" spans="1:3">
      <c r="A206">
        <v>182</v>
      </c>
      <c r="B206">
        <v>25575.874486370092</v>
      </c>
      <c r="C206">
        <v>10624.125513629908</v>
      </c>
    </row>
    <row r="207" spans="1:3">
      <c r="A207">
        <v>183</v>
      </c>
      <c r="B207">
        <v>29974.60299426959</v>
      </c>
      <c r="C207">
        <v>7925.3970057304105</v>
      </c>
    </row>
    <row r="208" spans="1:3">
      <c r="A208">
        <v>184</v>
      </c>
      <c r="B208">
        <v>29157.560550037717</v>
      </c>
      <c r="C208">
        <v>3342.4394499622831</v>
      </c>
    </row>
    <row r="209" spans="1:3">
      <c r="A209">
        <v>185</v>
      </c>
      <c r="B209">
        <v>21272.150913846392</v>
      </c>
      <c r="C209">
        <v>5127.8490861536084</v>
      </c>
    </row>
    <row r="210" spans="1:3">
      <c r="A210">
        <v>186</v>
      </c>
      <c r="B210">
        <v>22060.691877465524</v>
      </c>
      <c r="C210">
        <v>7539.3081225344758</v>
      </c>
    </row>
    <row r="211" spans="1:3">
      <c r="A211">
        <v>187</v>
      </c>
      <c r="B211">
        <v>30326.121255160044</v>
      </c>
      <c r="C211">
        <v>19673.878744839956</v>
      </c>
    </row>
    <row r="212" spans="1:3">
      <c r="A212">
        <v>188</v>
      </c>
      <c r="B212">
        <v>28207.511196279724</v>
      </c>
      <c r="C212">
        <v>3792.4888037202763</v>
      </c>
    </row>
    <row r="213" spans="1:3">
      <c r="A213">
        <v>189</v>
      </c>
      <c r="B213">
        <v>30221.615826246667</v>
      </c>
      <c r="C213">
        <v>-421.61582624666698</v>
      </c>
    </row>
    <row r="214" spans="1:3">
      <c r="A214">
        <v>190</v>
      </c>
      <c r="B214">
        <v>29433.074862627534</v>
      </c>
      <c r="C214">
        <v>5466.9251373724655</v>
      </c>
    </row>
    <row r="215" spans="1:3">
      <c r="A215">
        <v>191</v>
      </c>
      <c r="B215">
        <v>29708.589175217352</v>
      </c>
      <c r="C215">
        <v>7291.410824782648</v>
      </c>
    </row>
    <row r="216" spans="1:3">
      <c r="A216">
        <v>192</v>
      </c>
      <c r="B216">
        <v>30098.109410258126</v>
      </c>
      <c r="C216">
        <v>401.89058974187355</v>
      </c>
    </row>
    <row r="217" spans="1:3">
      <c r="A217">
        <v>193</v>
      </c>
      <c r="B217">
        <v>31827.199234097672</v>
      </c>
      <c r="C217">
        <v>4572.8007659023278</v>
      </c>
    </row>
    <row r="218" spans="1:3">
      <c r="A218">
        <v>194</v>
      </c>
      <c r="B218">
        <v>29775.092629980409</v>
      </c>
      <c r="C218">
        <v>1324.9073700195913</v>
      </c>
    </row>
    <row r="219" spans="1:3">
      <c r="A219">
        <v>195</v>
      </c>
      <c r="B219">
        <v>30392.624709923104</v>
      </c>
      <c r="C219">
        <v>-1292.6247099231041</v>
      </c>
    </row>
    <row r="220" spans="1:3">
      <c r="A220">
        <v>196</v>
      </c>
      <c r="B220">
        <v>31732.194298721872</v>
      </c>
      <c r="C220">
        <v>18267.805701278128</v>
      </c>
    </row>
    <row r="221" spans="1:3">
      <c r="A221">
        <v>197</v>
      </c>
      <c r="B221">
        <v>30677.639516050502</v>
      </c>
      <c r="C221">
        <v>2622.3604839494983</v>
      </c>
    </row>
    <row r="222" spans="1:3">
      <c r="A222">
        <v>198</v>
      </c>
      <c r="B222">
        <v>26373.915943526805</v>
      </c>
      <c r="C222">
        <v>3926.0840564731952</v>
      </c>
    </row>
    <row r="223" spans="1:3">
      <c r="A223">
        <v>199</v>
      </c>
      <c r="B223">
        <v>28264.514157505204</v>
      </c>
      <c r="C223">
        <v>6335.4858424947961</v>
      </c>
    </row>
    <row r="224" spans="1:3">
      <c r="A224">
        <v>200</v>
      </c>
      <c r="B224">
        <v>30221.615826246667</v>
      </c>
      <c r="C224">
        <v>4678.384173753333</v>
      </c>
    </row>
    <row r="225" spans="1:3">
      <c r="A225">
        <v>201</v>
      </c>
      <c r="B225">
        <v>30326.121255160044</v>
      </c>
      <c r="C225">
        <v>2573.8787448399562</v>
      </c>
    </row>
    <row r="226" spans="1:3">
      <c r="A226">
        <v>202</v>
      </c>
      <c r="B226">
        <v>27494.974180961231</v>
      </c>
      <c r="C226">
        <v>-3394.9741809612315</v>
      </c>
    </row>
    <row r="227" spans="1:3">
      <c r="A227">
        <v>203</v>
      </c>
      <c r="B227">
        <v>31599.187389195751</v>
      </c>
      <c r="C227">
        <v>10700.812610804249</v>
      </c>
    </row>
    <row r="228" spans="1:3">
      <c r="A228">
        <v>204</v>
      </c>
      <c r="B228">
        <v>30934.152841565159</v>
      </c>
      <c r="C228">
        <v>17565.847158434841</v>
      </c>
    </row>
    <row r="229" spans="1:3">
      <c r="A229">
        <v>205</v>
      </c>
      <c r="B229">
        <v>31817.698740560088</v>
      </c>
      <c r="C229">
        <v>18182.301259439912</v>
      </c>
    </row>
    <row r="230" spans="1:3">
      <c r="A230">
        <v>206</v>
      </c>
      <c r="B230">
        <v>24226.804404033745</v>
      </c>
      <c r="C230">
        <v>-1626.8044040337445</v>
      </c>
    </row>
    <row r="231" spans="1:3">
      <c r="A231">
        <v>207</v>
      </c>
      <c r="B231">
        <v>24131.799468657944</v>
      </c>
      <c r="C231">
        <v>268.20053134205591</v>
      </c>
    </row>
    <row r="232" spans="1:3">
      <c r="A232">
        <v>208</v>
      </c>
      <c r="B232">
        <v>17395.949550513789</v>
      </c>
      <c r="C232">
        <v>5104.0504494862107</v>
      </c>
    </row>
    <row r="233" spans="1:3">
      <c r="A233">
        <v>209</v>
      </c>
      <c r="B233">
        <v>20626.11735329096</v>
      </c>
      <c r="C233">
        <v>3773.8826467090403</v>
      </c>
    </row>
    <row r="234" spans="1:3">
      <c r="A234">
        <v>210</v>
      </c>
      <c r="B234">
        <v>12617.201301111094</v>
      </c>
      <c r="C234">
        <v>7382.7986988889061</v>
      </c>
    </row>
    <row r="235" spans="1:3">
      <c r="A235">
        <v>211</v>
      </c>
      <c r="B235">
        <v>18146.488539982602</v>
      </c>
      <c r="C235">
        <v>3553.5114600173983</v>
      </c>
    </row>
    <row r="236" spans="1:3">
      <c r="A236">
        <v>212</v>
      </c>
      <c r="B236">
        <v>11771.657376266485</v>
      </c>
      <c r="C236">
        <v>7528.3426237335152</v>
      </c>
    </row>
    <row r="237" spans="1:3">
      <c r="A237">
        <v>213</v>
      </c>
      <c r="B237">
        <v>19324.549738642512</v>
      </c>
      <c r="C237">
        <v>3075.4502613574878</v>
      </c>
    </row>
    <row r="238" spans="1:3">
      <c r="A238">
        <v>214</v>
      </c>
      <c r="B238">
        <v>25642.377941133149</v>
      </c>
      <c r="C238">
        <v>2457.6220588668511</v>
      </c>
    </row>
    <row r="239" spans="1:3">
      <c r="A239">
        <v>215</v>
      </c>
      <c r="B239">
        <v>6479.8824758344745</v>
      </c>
      <c r="C239">
        <v>17220.117524165526</v>
      </c>
    </row>
    <row r="240" spans="1:3">
      <c r="A240">
        <v>216</v>
      </c>
      <c r="B240">
        <v>25556.873499294932</v>
      </c>
      <c r="C240">
        <v>-556.87349929493212</v>
      </c>
    </row>
    <row r="241" spans="1:3">
      <c r="A241">
        <v>217</v>
      </c>
      <c r="B241">
        <v>21718.674110112646</v>
      </c>
      <c r="C241">
        <v>1581.3258898873537</v>
      </c>
    </row>
    <row r="242" spans="1:3">
      <c r="A242">
        <v>218</v>
      </c>
      <c r="B242">
        <v>25347.862641468171</v>
      </c>
      <c r="C242">
        <v>3352.1373585318288</v>
      </c>
    </row>
    <row r="243" spans="1:3">
      <c r="A243">
        <v>219</v>
      </c>
      <c r="B243">
        <v>17528.956460039906</v>
      </c>
      <c r="C243">
        <v>3971.0435399600938</v>
      </c>
    </row>
    <row r="244" spans="1:3">
      <c r="A244">
        <v>220</v>
      </c>
      <c r="B244">
        <v>24578.322664924199</v>
      </c>
      <c r="C244">
        <v>-1578.3226649241988</v>
      </c>
    </row>
    <row r="245" spans="1:3">
      <c r="A245">
        <v>221</v>
      </c>
      <c r="B245">
        <v>25328.861654393011</v>
      </c>
      <c r="C245">
        <v>1371.1383456069889</v>
      </c>
    </row>
    <row r="246" spans="1:3">
      <c r="A246">
        <v>222</v>
      </c>
      <c r="B246">
        <v>14165.781747736619</v>
      </c>
      <c r="C246">
        <v>7534.2182522633811</v>
      </c>
    </row>
    <row r="247" spans="1:3">
      <c r="A247">
        <v>223</v>
      </c>
      <c r="B247">
        <v>25119.850796566257</v>
      </c>
      <c r="C247">
        <v>2380.1492034337425</v>
      </c>
    </row>
    <row r="248" spans="1:3">
      <c r="A248">
        <v>224</v>
      </c>
      <c r="B248">
        <v>27333.465790822374</v>
      </c>
      <c r="C248">
        <v>2766.5342091776256</v>
      </c>
    </row>
    <row r="249" spans="1:3">
      <c r="A249">
        <v>225</v>
      </c>
      <c r="B249">
        <v>30620.636554825021</v>
      </c>
      <c r="C249">
        <v>14179.363445174979</v>
      </c>
    </row>
    <row r="250" spans="1:3">
      <c r="A250">
        <v>226</v>
      </c>
      <c r="B250">
        <v>30155.112371483607</v>
      </c>
      <c r="C250">
        <v>19844.887628516393</v>
      </c>
    </row>
    <row r="251" spans="1:3">
      <c r="A251">
        <v>227</v>
      </c>
      <c r="B251">
        <v>31580.186402120591</v>
      </c>
      <c r="C251">
        <v>6019.8135978794089</v>
      </c>
    </row>
    <row r="252" spans="1:3">
      <c r="A252">
        <v>228</v>
      </c>
      <c r="B252">
        <v>28511.526989482281</v>
      </c>
      <c r="C252">
        <v>3088.4730105177186</v>
      </c>
    </row>
    <row r="253" spans="1:3">
      <c r="A253">
        <v>229</v>
      </c>
      <c r="B253">
        <v>30829.647412651779</v>
      </c>
      <c r="C253">
        <v>15870.352587348221</v>
      </c>
    </row>
    <row r="254" spans="1:3">
      <c r="A254">
        <v>230</v>
      </c>
      <c r="B254">
        <v>30981.655309253059</v>
      </c>
      <c r="C254">
        <v>518.34469074694061</v>
      </c>
    </row>
    <row r="255" spans="1:3">
      <c r="A255">
        <v>231</v>
      </c>
      <c r="B255">
        <v>23485.765908102512</v>
      </c>
      <c r="C255">
        <v>814.23409189748782</v>
      </c>
    </row>
    <row r="256" spans="1:3">
      <c r="A256">
        <v>232</v>
      </c>
      <c r="B256">
        <v>29566.081772153651</v>
      </c>
      <c r="C256">
        <v>2133.9182278463486</v>
      </c>
    </row>
    <row r="257" spans="1:3">
      <c r="A257">
        <v>233</v>
      </c>
      <c r="B257">
        <v>32207.218975600867</v>
      </c>
      <c r="C257">
        <v>9492.7810243991335</v>
      </c>
    </row>
    <row r="258" spans="1:3">
      <c r="A258">
        <v>234</v>
      </c>
      <c r="B258">
        <v>30801.145932039039</v>
      </c>
      <c r="C258">
        <v>17498.854067960961</v>
      </c>
    </row>
    <row r="259" spans="1:3">
      <c r="A259">
        <v>235</v>
      </c>
      <c r="B259">
        <v>26905.943581631276</v>
      </c>
      <c r="C259">
        <v>2094.0564183687238</v>
      </c>
    </row>
    <row r="260" spans="1:3">
      <c r="A260">
        <v>236</v>
      </c>
      <c r="B260">
        <v>24217.303910496164</v>
      </c>
      <c r="C260">
        <v>-217.30391049616446</v>
      </c>
    </row>
    <row r="261" spans="1:3">
      <c r="A261">
        <v>237</v>
      </c>
      <c r="B261">
        <v>25490.370044531872</v>
      </c>
      <c r="C261">
        <v>-390.37004453187183</v>
      </c>
    </row>
    <row r="262" spans="1:3">
      <c r="A262">
        <v>238</v>
      </c>
      <c r="B262">
        <v>30060.107436107806</v>
      </c>
      <c r="C262">
        <v>1439.8925638921937</v>
      </c>
    </row>
    <row r="263" spans="1:3">
      <c r="A263">
        <v>239</v>
      </c>
      <c r="B263">
        <v>28511.526989482281</v>
      </c>
      <c r="C263">
        <v>-4811.5269894822814</v>
      </c>
    </row>
    <row r="264" spans="1:3">
      <c r="A264">
        <v>240</v>
      </c>
      <c r="B264">
        <v>27551.977142186712</v>
      </c>
      <c r="C264">
        <v>-4251.9771421867117</v>
      </c>
    </row>
    <row r="265" spans="1:3">
      <c r="A265">
        <v>241</v>
      </c>
      <c r="B265">
        <v>23742.27923361717</v>
      </c>
      <c r="C265">
        <v>-1742.2792336171697</v>
      </c>
    </row>
    <row r="266" spans="1:3">
      <c r="A266">
        <v>242</v>
      </c>
      <c r="B266">
        <v>22773.228892784016</v>
      </c>
      <c r="C266">
        <v>-2673.2288927840164</v>
      </c>
    </row>
    <row r="267" spans="1:3">
      <c r="A267">
        <v>243</v>
      </c>
      <c r="B267">
        <v>23894.287130218447</v>
      </c>
      <c r="C267">
        <v>-1694.2871302184467</v>
      </c>
    </row>
    <row r="268" spans="1:3">
      <c r="A268">
        <v>244</v>
      </c>
      <c r="B268">
        <v>29623.084733379132</v>
      </c>
      <c r="C268">
        <v>-5923.0847333791316</v>
      </c>
    </row>
    <row r="269" spans="1:3">
      <c r="A269">
        <v>245</v>
      </c>
      <c r="B269">
        <v>22678.22395740822</v>
      </c>
      <c r="C269">
        <v>-5078.2239574082196</v>
      </c>
    </row>
    <row r="270" spans="1:3">
      <c r="A270">
        <v>246</v>
      </c>
      <c r="B270">
        <v>17015.929809010591</v>
      </c>
      <c r="C270">
        <v>1484.0701909894087</v>
      </c>
    </row>
    <row r="271" spans="1:3">
      <c r="A271">
        <v>247</v>
      </c>
      <c r="B271">
        <v>25851.38879895991</v>
      </c>
      <c r="C271">
        <v>-1551.3887989599098</v>
      </c>
    </row>
    <row r="272" spans="1:3">
      <c r="A272">
        <v>248</v>
      </c>
      <c r="B272">
        <v>24910.839938739497</v>
      </c>
      <c r="C272">
        <v>-4410.8399387394966</v>
      </c>
    </row>
    <row r="273" spans="1:3">
      <c r="A273">
        <v>249</v>
      </c>
      <c r="B273">
        <v>25509.371031607032</v>
      </c>
      <c r="C273">
        <v>-1009.3710316070319</v>
      </c>
    </row>
    <row r="274" spans="1:3">
      <c r="A274">
        <v>250</v>
      </c>
      <c r="B274">
        <v>28321.517118730684</v>
      </c>
      <c r="C274">
        <v>-2121.5171187306842</v>
      </c>
    </row>
    <row r="275" spans="1:3">
      <c r="A275">
        <v>251</v>
      </c>
      <c r="B275">
        <v>28948.54969221096</v>
      </c>
      <c r="C275">
        <v>-4548.5496922109596</v>
      </c>
    </row>
    <row r="276" spans="1:3">
      <c r="A276">
        <v>252</v>
      </c>
      <c r="B276">
        <v>31143.163699391916</v>
      </c>
      <c r="C276">
        <v>-6343.1636993919165</v>
      </c>
    </row>
    <row r="277" spans="1:3">
      <c r="A277">
        <v>253</v>
      </c>
      <c r="B277">
        <v>31200.166660617397</v>
      </c>
      <c r="C277">
        <v>-1600.1666606173967</v>
      </c>
    </row>
    <row r="278" spans="1:3">
      <c r="A278">
        <v>254</v>
      </c>
      <c r="B278">
        <v>31190.666167079817</v>
      </c>
      <c r="C278">
        <v>11609.333832920183</v>
      </c>
    </row>
    <row r="279" spans="1:3">
      <c r="A279">
        <v>255</v>
      </c>
      <c r="B279">
        <v>28312.016625193104</v>
      </c>
      <c r="C279">
        <v>-6412.0166251931041</v>
      </c>
    </row>
    <row r="280" spans="1:3">
      <c r="A280">
        <v>256</v>
      </c>
      <c r="B280">
        <v>25765.884357121689</v>
      </c>
      <c r="C280">
        <v>-4865.8843571216894</v>
      </c>
    </row>
    <row r="281" spans="1:3">
      <c r="A281">
        <v>257</v>
      </c>
      <c r="B281">
        <v>31599.187389195751</v>
      </c>
      <c r="C281">
        <v>12400.812610804249</v>
      </c>
    </row>
    <row r="282" spans="1:3">
      <c r="A282">
        <v>258</v>
      </c>
      <c r="B282">
        <v>29689.588188142192</v>
      </c>
      <c r="C282">
        <v>20310.411811857808</v>
      </c>
    </row>
    <row r="283" spans="1:3">
      <c r="A283">
        <v>259</v>
      </c>
      <c r="B283">
        <v>27152.956413608357</v>
      </c>
      <c r="C283">
        <v>8847.0435863916427</v>
      </c>
    </row>
    <row r="284" spans="1:3">
      <c r="A284">
        <v>260</v>
      </c>
      <c r="B284">
        <v>27998.500338452966</v>
      </c>
      <c r="C284">
        <v>2101.4996615470336</v>
      </c>
    </row>
    <row r="285" spans="1:3">
      <c r="A285">
        <v>261</v>
      </c>
      <c r="B285">
        <v>25442.867576843972</v>
      </c>
      <c r="C285">
        <v>8357.1324231560284</v>
      </c>
    </row>
    <row r="286" spans="1:3">
      <c r="A286">
        <v>262</v>
      </c>
      <c r="B286">
        <v>27656.482571100089</v>
      </c>
      <c r="C286">
        <v>15443.517428899911</v>
      </c>
    </row>
    <row r="287" spans="1:3">
      <c r="A287">
        <v>263</v>
      </c>
      <c r="B287">
        <v>28939.049198673376</v>
      </c>
      <c r="C287">
        <v>19860.950801326624</v>
      </c>
    </row>
    <row r="288" spans="1:3">
      <c r="A288">
        <v>264</v>
      </c>
      <c r="B288">
        <v>23865.785649605707</v>
      </c>
      <c r="C288">
        <v>7134.2143503942934</v>
      </c>
    </row>
    <row r="289" spans="1:3">
      <c r="A289">
        <v>265</v>
      </c>
      <c r="B289">
        <v>26858.44111394338</v>
      </c>
      <c r="C289">
        <v>9641.5588860566204</v>
      </c>
    </row>
    <row r="290" spans="1:3">
      <c r="A290">
        <v>266</v>
      </c>
      <c r="B290">
        <v>24625.825132612103</v>
      </c>
      <c r="C290">
        <v>-1825.8251326121026</v>
      </c>
    </row>
    <row r="291" spans="1:3">
      <c r="A291">
        <v>267</v>
      </c>
      <c r="B291">
        <v>20502.610937302423</v>
      </c>
      <c r="C291">
        <v>10197.389062697577</v>
      </c>
    </row>
    <row r="292" spans="1:3">
      <c r="A292">
        <v>268</v>
      </c>
      <c r="B292">
        <v>27485.473687423651</v>
      </c>
      <c r="C292">
        <v>22514.526312576349</v>
      </c>
    </row>
    <row r="293" spans="1:3">
      <c r="A293">
        <v>269</v>
      </c>
      <c r="B293">
        <v>31551.684921507855</v>
      </c>
      <c r="C293">
        <v>11948.315078492145</v>
      </c>
    </row>
    <row r="294" spans="1:3">
      <c r="A294">
        <v>270</v>
      </c>
      <c r="B294">
        <v>21585.667200586529</v>
      </c>
      <c r="C294">
        <v>-885.66720058652936</v>
      </c>
    </row>
    <row r="295" spans="1:3">
      <c r="A295">
        <v>271</v>
      </c>
      <c r="B295">
        <v>22203.199280529225</v>
      </c>
      <c r="C295">
        <v>-1103.1992805292248</v>
      </c>
    </row>
    <row r="296" spans="1:3">
      <c r="A296">
        <v>272</v>
      </c>
      <c r="B296">
        <v>28293.015638117944</v>
      </c>
      <c r="C296">
        <v>-3093.015638117944</v>
      </c>
    </row>
    <row r="297" spans="1:3">
      <c r="A297">
        <v>273</v>
      </c>
      <c r="B297">
        <v>27209.959374833834</v>
      </c>
      <c r="C297">
        <v>-2809.9593748338339</v>
      </c>
    </row>
    <row r="298" spans="1:3">
      <c r="A298">
        <v>274</v>
      </c>
      <c r="B298">
        <v>28302.516131655524</v>
      </c>
      <c r="C298">
        <v>6897.4838683444759</v>
      </c>
    </row>
    <row r="299" spans="1:3">
      <c r="A299">
        <v>275</v>
      </c>
      <c r="B299">
        <v>31200.166660617397</v>
      </c>
      <c r="C299">
        <v>1199.8333393826033</v>
      </c>
    </row>
    <row r="300" spans="1:3">
      <c r="A300">
        <v>276</v>
      </c>
      <c r="B300">
        <v>31722.693805184292</v>
      </c>
      <c r="C300">
        <v>277.3061948157083</v>
      </c>
    </row>
    <row r="301" spans="1:3">
      <c r="A301">
        <v>277</v>
      </c>
      <c r="B301">
        <v>28806.042289147259</v>
      </c>
      <c r="C301">
        <v>4393.957710852741</v>
      </c>
    </row>
    <row r="302" spans="1:3">
      <c r="A302">
        <v>278</v>
      </c>
      <c r="B302">
        <v>30601.635567749861</v>
      </c>
      <c r="C302">
        <v>2498.3644322501386</v>
      </c>
    </row>
    <row r="303" spans="1:3">
      <c r="A303">
        <v>279</v>
      </c>
      <c r="B303">
        <v>27722.986025863149</v>
      </c>
      <c r="C303">
        <v>1377.0139741368512</v>
      </c>
    </row>
    <row r="304" spans="1:3">
      <c r="A304">
        <v>280</v>
      </c>
      <c r="B304">
        <v>29946.101513656849</v>
      </c>
      <c r="C304">
        <v>5153.8984863431506</v>
      </c>
    </row>
    <row r="305" spans="1:3">
      <c r="A305">
        <v>281</v>
      </c>
      <c r="B305">
        <v>30981.655309253059</v>
      </c>
      <c r="C305">
        <v>14418.344690746941</v>
      </c>
    </row>
    <row r="306" spans="1:3">
      <c r="A306">
        <v>282</v>
      </c>
      <c r="B306">
        <v>30193.114345633927</v>
      </c>
      <c r="C306">
        <v>5206.8856543660731</v>
      </c>
    </row>
    <row r="307" spans="1:3">
      <c r="A307">
        <v>283</v>
      </c>
      <c r="B307">
        <v>31694.192324571552</v>
      </c>
      <c r="C307">
        <v>14305.807675428448</v>
      </c>
    </row>
    <row r="308" spans="1:3">
      <c r="A308">
        <v>284</v>
      </c>
      <c r="B308">
        <v>31551.684921507855</v>
      </c>
      <c r="C308">
        <v>18448.315078492145</v>
      </c>
    </row>
    <row r="309" spans="1:3">
      <c r="A309">
        <v>285</v>
      </c>
      <c r="B309">
        <v>27095.953452382877</v>
      </c>
      <c r="C309">
        <v>5104.0465476171266</v>
      </c>
    </row>
    <row r="310" spans="1:3">
      <c r="A310">
        <v>286</v>
      </c>
      <c r="B310">
        <v>26734.934697954839</v>
      </c>
      <c r="C310">
        <v>-4734.9346979548391</v>
      </c>
    </row>
    <row r="311" spans="1:3">
      <c r="A311">
        <v>287</v>
      </c>
      <c r="B311">
        <v>22269.702735292281</v>
      </c>
      <c r="C311">
        <v>-2169.7027352922814</v>
      </c>
    </row>
    <row r="312" spans="1:3">
      <c r="A312">
        <v>288</v>
      </c>
      <c r="B312">
        <v>27770.488493551049</v>
      </c>
      <c r="C312">
        <v>-4570.488493551049</v>
      </c>
    </row>
    <row r="313" spans="1:3">
      <c r="A313">
        <v>289</v>
      </c>
      <c r="B313">
        <v>27333.465790822374</v>
      </c>
      <c r="C313">
        <v>-5033.4657908223744</v>
      </c>
    </row>
    <row r="314" spans="1:3">
      <c r="A314">
        <v>290</v>
      </c>
      <c r="B314">
        <v>25518.871525144612</v>
      </c>
      <c r="C314">
        <v>-718.87152514461195</v>
      </c>
    </row>
    <row r="315" spans="1:3">
      <c r="A315">
        <v>291</v>
      </c>
      <c r="B315">
        <v>31390.176531368994</v>
      </c>
      <c r="C315">
        <v>-2890.1765313689939</v>
      </c>
    </row>
    <row r="316" spans="1:3">
      <c r="A316">
        <v>292</v>
      </c>
      <c r="B316">
        <v>31171.665180004657</v>
      </c>
      <c r="C316">
        <v>6128.3348199953434</v>
      </c>
    </row>
    <row r="317" spans="1:3">
      <c r="A317">
        <v>293</v>
      </c>
      <c r="B317">
        <v>30088.608916720546</v>
      </c>
      <c r="C317">
        <v>-2188.6089167205464</v>
      </c>
    </row>
    <row r="318" spans="1:3">
      <c r="A318">
        <v>294</v>
      </c>
      <c r="B318">
        <v>26402.417424139541</v>
      </c>
      <c r="C318">
        <v>-2502.4174241395413</v>
      </c>
    </row>
    <row r="319" spans="1:3">
      <c r="A319">
        <v>295</v>
      </c>
      <c r="B319">
        <v>24673.327600299999</v>
      </c>
      <c r="C319">
        <v>-2973.3276002999992</v>
      </c>
    </row>
    <row r="320" spans="1:3">
      <c r="A320">
        <v>296</v>
      </c>
      <c r="B320">
        <v>28597.031431320502</v>
      </c>
      <c r="C320">
        <v>2.9685686794982757</v>
      </c>
    </row>
    <row r="321" spans="1:3">
      <c r="A321">
        <v>297</v>
      </c>
      <c r="B321">
        <v>27532.976155111552</v>
      </c>
      <c r="C321">
        <v>-432.97615511155163</v>
      </c>
    </row>
    <row r="322" spans="1:3">
      <c r="A322">
        <v>298</v>
      </c>
      <c r="B322">
        <v>19505.059115856529</v>
      </c>
      <c r="C322">
        <v>794.94088414347061</v>
      </c>
    </row>
    <row r="323" spans="1:3">
      <c r="A323">
        <v>299</v>
      </c>
      <c r="B323">
        <v>29832.095591205889</v>
      </c>
      <c r="C323">
        <v>-7332.0955912058889</v>
      </c>
    </row>
    <row r="324" spans="1:3">
      <c r="A324">
        <v>300</v>
      </c>
      <c r="B324">
        <v>30050.606942570226</v>
      </c>
      <c r="C324">
        <v>-1050.6069425702262</v>
      </c>
    </row>
    <row r="325" spans="1:3">
      <c r="A325">
        <v>301</v>
      </c>
      <c r="B325">
        <v>28787.041302072099</v>
      </c>
      <c r="C325">
        <v>-3987.0413020720989</v>
      </c>
    </row>
    <row r="326" spans="1:3">
      <c r="A326">
        <v>302</v>
      </c>
      <c r="B326">
        <v>25528.372018682188</v>
      </c>
      <c r="C326">
        <v>-3528.3720186821884</v>
      </c>
    </row>
    <row r="327" spans="1:3">
      <c r="A327">
        <v>303</v>
      </c>
      <c r="B327">
        <v>26316.912982301321</v>
      </c>
      <c r="C327">
        <v>83.087017698679119</v>
      </c>
    </row>
    <row r="328" spans="1:3">
      <c r="A328">
        <v>304</v>
      </c>
      <c r="B328">
        <v>29936.601020119269</v>
      </c>
      <c r="C328">
        <v>3163.3989798807306</v>
      </c>
    </row>
    <row r="329" spans="1:3">
      <c r="A329">
        <v>305</v>
      </c>
      <c r="B329">
        <v>27969.998857840226</v>
      </c>
      <c r="C329">
        <v>8130.0011421597737</v>
      </c>
    </row>
    <row r="330" spans="1:3">
      <c r="A330">
        <v>306</v>
      </c>
      <c r="B330">
        <v>26069.900150324247</v>
      </c>
      <c r="C330">
        <v>2330.0998496757529</v>
      </c>
    </row>
    <row r="331" spans="1:3">
      <c r="A331">
        <v>307</v>
      </c>
      <c r="B331">
        <v>28407.021560568905</v>
      </c>
      <c r="C331">
        <v>4992.9784394310955</v>
      </c>
    </row>
    <row r="332" spans="1:3">
      <c r="A332">
        <v>308</v>
      </c>
      <c r="B332">
        <v>27399.969245585431</v>
      </c>
      <c r="C332">
        <v>800.03075441456895</v>
      </c>
    </row>
    <row r="333" spans="1:3">
      <c r="A333">
        <v>309</v>
      </c>
      <c r="B333">
        <v>30240.616813321823</v>
      </c>
      <c r="C333">
        <v>-7440.6168133218234</v>
      </c>
    </row>
    <row r="334" spans="1:3">
      <c r="A334">
        <v>310</v>
      </c>
      <c r="B334">
        <v>25081.848822415937</v>
      </c>
      <c r="C334">
        <v>-4781.8488224159373</v>
      </c>
    </row>
    <row r="335" spans="1:3">
      <c r="A335">
        <v>311</v>
      </c>
      <c r="B335">
        <v>22545.217047882099</v>
      </c>
      <c r="C335">
        <v>-6445.2170478820972</v>
      </c>
    </row>
    <row r="336" spans="1:3">
      <c r="A336">
        <v>312</v>
      </c>
      <c r="B336">
        <v>28872.545743910319</v>
      </c>
      <c r="C336">
        <v>-6772.5457439103193</v>
      </c>
    </row>
    <row r="337" spans="1:3">
      <c r="A337">
        <v>313</v>
      </c>
      <c r="B337">
        <v>23419.262453339448</v>
      </c>
      <c r="C337">
        <v>-4019.2624533394483</v>
      </c>
    </row>
    <row r="338" spans="1:3">
      <c r="A338">
        <v>314</v>
      </c>
      <c r="B338">
        <v>27048.450984694977</v>
      </c>
      <c r="C338">
        <v>-5448.4509846949768</v>
      </c>
    </row>
    <row r="339" spans="1:3">
      <c r="A339">
        <v>315</v>
      </c>
      <c r="B339">
        <v>25737.382876508949</v>
      </c>
      <c r="C339">
        <v>-1937.3828765089493</v>
      </c>
    </row>
    <row r="340" spans="1:3">
      <c r="A340">
        <v>316</v>
      </c>
      <c r="B340">
        <v>23628.273311166209</v>
      </c>
      <c r="C340">
        <v>-7428.2733111662092</v>
      </c>
    </row>
    <row r="341" spans="1:3">
      <c r="A341">
        <v>317</v>
      </c>
      <c r="B341">
        <v>17139.436224999132</v>
      </c>
      <c r="C341">
        <v>660.56377500086819</v>
      </c>
    </row>
    <row r="342" spans="1:3">
      <c r="A342">
        <v>318</v>
      </c>
      <c r="B342">
        <v>19410.054180480729</v>
      </c>
      <c r="C342">
        <v>389.94581951927103</v>
      </c>
    </row>
    <row r="343" spans="1:3">
      <c r="A343">
        <v>319</v>
      </c>
      <c r="B343">
        <v>24711.329574450319</v>
      </c>
      <c r="C343">
        <v>-1611.3295744503193</v>
      </c>
    </row>
    <row r="344" spans="1:3">
      <c r="A344">
        <v>320</v>
      </c>
      <c r="B344">
        <v>22459.712606043882</v>
      </c>
      <c r="C344">
        <v>-1459.7126060438823</v>
      </c>
    </row>
    <row r="345" spans="1:3">
      <c r="A345">
        <v>321</v>
      </c>
      <c r="B345">
        <v>27713.485532325569</v>
      </c>
      <c r="C345">
        <v>-3913.4855323255688</v>
      </c>
    </row>
    <row r="346" spans="1:3">
      <c r="A346">
        <v>322</v>
      </c>
      <c r="B346">
        <v>28027.001819065707</v>
      </c>
      <c r="C346">
        <v>-4927.0018190657065</v>
      </c>
    </row>
    <row r="347" spans="1:3">
      <c r="A347">
        <v>323</v>
      </c>
      <c r="B347">
        <v>27238.460855446574</v>
      </c>
      <c r="C347">
        <v>-6838.460855446574</v>
      </c>
    </row>
    <row r="348" spans="1:3">
      <c r="A348">
        <v>324</v>
      </c>
      <c r="B348">
        <v>23400.261466264292</v>
      </c>
      <c r="C348">
        <v>-4900.2614662642918</v>
      </c>
    </row>
    <row r="349" spans="1:3">
      <c r="A349">
        <v>325</v>
      </c>
      <c r="B349">
        <v>28739.538834384199</v>
      </c>
      <c r="C349">
        <v>-3739.5388343841987</v>
      </c>
    </row>
    <row r="350" spans="1:3">
      <c r="A350">
        <v>326</v>
      </c>
      <c r="B350">
        <v>29727.590162292508</v>
      </c>
      <c r="C350">
        <v>-5127.5901622925085</v>
      </c>
    </row>
    <row r="351" spans="1:3">
      <c r="A351">
        <v>327</v>
      </c>
      <c r="B351">
        <v>28711.037353771462</v>
      </c>
      <c r="C351">
        <v>-5711.0373537714622</v>
      </c>
    </row>
    <row r="352" spans="1:3">
      <c r="A352">
        <v>328</v>
      </c>
      <c r="B352">
        <v>22402.709644818402</v>
      </c>
      <c r="C352">
        <v>-202.70964481840201</v>
      </c>
    </row>
    <row r="353" spans="1:3">
      <c r="A353">
        <v>329</v>
      </c>
      <c r="B353">
        <v>25081.848822415937</v>
      </c>
      <c r="C353">
        <v>-5781.8488224159373</v>
      </c>
    </row>
    <row r="354" spans="1:3">
      <c r="A354">
        <v>330</v>
      </c>
      <c r="B354">
        <v>27580.478622799452</v>
      </c>
      <c r="C354">
        <v>-4980.4786227994518</v>
      </c>
    </row>
    <row r="355" spans="1:3">
      <c r="A355">
        <v>331</v>
      </c>
      <c r="B355">
        <v>25917.892253722966</v>
      </c>
      <c r="C355">
        <v>-6117.8922537229664</v>
      </c>
    </row>
    <row r="356" spans="1:3">
      <c r="A356">
        <v>332</v>
      </c>
      <c r="B356">
        <v>22744.727412171276</v>
      </c>
      <c r="C356">
        <v>-5644.7274121712762</v>
      </c>
    </row>
    <row r="357" spans="1:3">
      <c r="A357">
        <v>333</v>
      </c>
      <c r="B357">
        <v>27114.954439458037</v>
      </c>
      <c r="C357">
        <v>-7714.9544394580371</v>
      </c>
    </row>
    <row r="358" spans="1:3">
      <c r="A358">
        <v>334</v>
      </c>
      <c r="B358">
        <v>29157.560550037717</v>
      </c>
      <c r="C358">
        <v>-6957.5605500377169</v>
      </c>
    </row>
    <row r="359" spans="1:3">
      <c r="A359">
        <v>335</v>
      </c>
      <c r="B359">
        <v>28141.007741516667</v>
      </c>
      <c r="C359">
        <v>-7441.007741516667</v>
      </c>
    </row>
    <row r="360" spans="1:3">
      <c r="A360">
        <v>336</v>
      </c>
      <c r="B360">
        <v>26943.945555781596</v>
      </c>
      <c r="C360">
        <v>-5843.9455557815963</v>
      </c>
    </row>
    <row r="361" spans="1:3">
      <c r="A361">
        <v>337</v>
      </c>
      <c r="B361">
        <v>25243.357212554794</v>
      </c>
      <c r="C361">
        <v>-5743.3572125547944</v>
      </c>
    </row>
    <row r="362" spans="1:3">
      <c r="A362">
        <v>338</v>
      </c>
      <c r="B362">
        <v>24521.319703698719</v>
      </c>
      <c r="C362">
        <v>-6021.3197036987185</v>
      </c>
    </row>
    <row r="363" spans="1:3">
      <c r="A363">
        <v>339</v>
      </c>
      <c r="B363">
        <v>26468.920878902602</v>
      </c>
      <c r="C363">
        <v>-5868.9208789026015</v>
      </c>
    </row>
    <row r="364" spans="1:3">
      <c r="A364">
        <v>340</v>
      </c>
      <c r="B364">
        <v>25300.360173780275</v>
      </c>
      <c r="C364">
        <v>-6300.3601737802746</v>
      </c>
    </row>
    <row r="365" spans="1:3">
      <c r="A365">
        <v>341</v>
      </c>
      <c r="B365">
        <v>25727.882382971369</v>
      </c>
      <c r="C365">
        <v>-7027.8823829713692</v>
      </c>
    </row>
    <row r="366" spans="1:3">
      <c r="A366">
        <v>342</v>
      </c>
      <c r="B366">
        <v>29338.069927251734</v>
      </c>
      <c r="C366">
        <v>3361.9300727482696</v>
      </c>
    </row>
    <row r="367" spans="1:3">
      <c r="A367">
        <v>343</v>
      </c>
      <c r="B367">
        <v>26335.913969376481</v>
      </c>
      <c r="C367">
        <v>-9835.913969376481</v>
      </c>
    </row>
    <row r="368" spans="1:3">
      <c r="A368">
        <v>344</v>
      </c>
      <c r="B368">
        <v>27732.486519400729</v>
      </c>
      <c r="C368">
        <v>-3832.4865194007289</v>
      </c>
    </row>
    <row r="369" spans="1:3">
      <c r="A369">
        <v>345</v>
      </c>
      <c r="B369">
        <v>30174.113358558767</v>
      </c>
      <c r="C369">
        <v>1025.8866414412332</v>
      </c>
    </row>
    <row r="370" spans="1:3">
      <c r="A370">
        <v>346</v>
      </c>
      <c r="B370">
        <v>24549.821184311462</v>
      </c>
      <c r="C370">
        <v>-7049.8211843114623</v>
      </c>
    </row>
    <row r="371" spans="1:3">
      <c r="A371">
        <v>347</v>
      </c>
      <c r="B371">
        <v>22516.715567269363</v>
      </c>
      <c r="C371">
        <v>-5316.7155672693625</v>
      </c>
    </row>
    <row r="372" spans="1:3">
      <c r="A372">
        <v>348</v>
      </c>
      <c r="B372">
        <v>28511.526989482281</v>
      </c>
      <c r="C372">
        <v>-5411.5269894822814</v>
      </c>
    </row>
    <row r="373" spans="1:3">
      <c r="A373">
        <v>349</v>
      </c>
      <c r="B373">
        <v>28863.045250372739</v>
      </c>
      <c r="C373">
        <v>-4363.0452503727392</v>
      </c>
    </row>
    <row r="374" spans="1:3">
      <c r="A374">
        <v>350</v>
      </c>
      <c r="B374">
        <v>28958.050185748536</v>
      </c>
      <c r="C374">
        <v>-2358.050185748536</v>
      </c>
    </row>
    <row r="375" spans="1:3">
      <c r="A375">
        <v>351</v>
      </c>
      <c r="B375">
        <v>28872.545743910319</v>
      </c>
      <c r="C375">
        <v>-5972.5457439103193</v>
      </c>
    </row>
    <row r="376" spans="1:3">
      <c r="A376">
        <v>352</v>
      </c>
      <c r="B376">
        <v>29338.069927251734</v>
      </c>
      <c r="C376">
        <v>-5238.069927251734</v>
      </c>
    </row>
    <row r="377" spans="1:3">
      <c r="A377">
        <v>353</v>
      </c>
      <c r="B377">
        <v>27152.956413608357</v>
      </c>
      <c r="C377">
        <v>-8552.9564136083573</v>
      </c>
    </row>
    <row r="378" spans="1:3">
      <c r="A378">
        <v>354</v>
      </c>
      <c r="B378">
        <v>30278.618787472144</v>
      </c>
      <c r="C378">
        <v>-178.61878747214359</v>
      </c>
    </row>
    <row r="379" spans="1:3">
      <c r="A379">
        <v>355</v>
      </c>
      <c r="B379">
        <v>26905.943581631276</v>
      </c>
      <c r="C379">
        <v>-8705.9435816312762</v>
      </c>
    </row>
    <row r="380" spans="1:3">
      <c r="A380">
        <v>356</v>
      </c>
      <c r="B380">
        <v>29262.065978951094</v>
      </c>
      <c r="C380">
        <v>-8662.0659789510937</v>
      </c>
    </row>
    <row r="381" spans="1:3">
      <c r="A381">
        <v>357</v>
      </c>
      <c r="B381">
        <v>17832.972253242464</v>
      </c>
      <c r="C381">
        <v>-32.972253242463921</v>
      </c>
    </row>
    <row r="382" spans="1:3">
      <c r="A382">
        <v>358</v>
      </c>
      <c r="B382">
        <v>21946.685955014567</v>
      </c>
      <c r="C382">
        <v>-246.6859550145673</v>
      </c>
    </row>
    <row r="383" spans="1:3">
      <c r="A383">
        <v>359</v>
      </c>
      <c r="B383">
        <v>23647.274298241369</v>
      </c>
      <c r="C383">
        <v>-947.27429824136925</v>
      </c>
    </row>
    <row r="384" spans="1:3">
      <c r="A384">
        <v>360</v>
      </c>
      <c r="B384">
        <v>22516.715567269363</v>
      </c>
      <c r="C384">
        <v>83.284432730637491</v>
      </c>
    </row>
    <row r="385" spans="1:3">
      <c r="A385">
        <v>361</v>
      </c>
      <c r="B385">
        <v>27152.956413608357</v>
      </c>
      <c r="C385">
        <v>-2152.9564136083573</v>
      </c>
    </row>
    <row r="386" spans="1:3">
      <c r="A386">
        <v>362</v>
      </c>
      <c r="B386">
        <v>21072.640549557214</v>
      </c>
      <c r="C386">
        <v>-1172.6405495572144</v>
      </c>
    </row>
    <row r="387" spans="1:3">
      <c r="A387">
        <v>363</v>
      </c>
      <c r="B387">
        <v>24872.837964589176</v>
      </c>
      <c r="C387">
        <v>-4072.8379645891764</v>
      </c>
    </row>
    <row r="388" spans="1:3">
      <c r="A388">
        <v>364</v>
      </c>
      <c r="B388">
        <v>20645.11834036612</v>
      </c>
      <c r="C388">
        <v>-3845.1183403661198</v>
      </c>
    </row>
    <row r="389" spans="1:3">
      <c r="A389">
        <v>365</v>
      </c>
      <c r="B389">
        <v>29528.079798003331</v>
      </c>
      <c r="C389">
        <v>-7628.0797980033312</v>
      </c>
    </row>
    <row r="390" spans="1:3">
      <c r="A390">
        <v>366</v>
      </c>
      <c r="B390">
        <v>27789.489480626209</v>
      </c>
      <c r="C390">
        <v>-289.48948062620912</v>
      </c>
    </row>
    <row r="391" spans="1:3">
      <c r="A391">
        <v>367</v>
      </c>
      <c r="B391">
        <v>21253.149926771232</v>
      </c>
      <c r="C391">
        <v>646.85007322876845</v>
      </c>
    </row>
    <row r="392" spans="1:3">
      <c r="A392">
        <v>368</v>
      </c>
      <c r="B392">
        <v>21889.682993789087</v>
      </c>
      <c r="C392">
        <v>1210.317006210913</v>
      </c>
    </row>
    <row r="393" spans="1:3">
      <c r="A393">
        <v>369</v>
      </c>
      <c r="B393">
        <v>31456.679986132054</v>
      </c>
      <c r="C393">
        <v>18543.320013867946</v>
      </c>
    </row>
    <row r="394" spans="1:3">
      <c r="A394">
        <v>370</v>
      </c>
      <c r="B394">
        <v>31010.1567898658</v>
      </c>
      <c r="C394">
        <v>18989.8432101342</v>
      </c>
    </row>
    <row r="395" spans="1:3">
      <c r="A395">
        <v>371</v>
      </c>
      <c r="B395">
        <v>31741.694792259452</v>
      </c>
      <c r="C395">
        <v>18258.305207740548</v>
      </c>
    </row>
    <row r="396" spans="1:3">
      <c r="A396">
        <v>372</v>
      </c>
      <c r="B396">
        <v>25499.870538069452</v>
      </c>
      <c r="C396">
        <v>24500.129461930548</v>
      </c>
    </row>
    <row r="397" spans="1:3">
      <c r="A397">
        <v>373</v>
      </c>
      <c r="B397">
        <v>26117.402618012144</v>
      </c>
      <c r="C397">
        <v>23882.597381987856</v>
      </c>
    </row>
    <row r="398" spans="1:3">
      <c r="A398">
        <v>374</v>
      </c>
      <c r="B398">
        <v>1520.6248492177619</v>
      </c>
      <c r="C398">
        <v>12279.375150782238</v>
      </c>
    </row>
    <row r="399" spans="1:3">
      <c r="A399">
        <v>375</v>
      </c>
      <c r="B399">
        <v>-1519.5330828078077</v>
      </c>
      <c r="C399">
        <v>15319.533082807808</v>
      </c>
    </row>
    <row r="400" spans="1:3">
      <c r="A400">
        <v>376</v>
      </c>
      <c r="B400">
        <v>21785.17756487571</v>
      </c>
      <c r="C400">
        <v>-6785.1775648757102</v>
      </c>
    </row>
    <row r="401" spans="1:3">
      <c r="A401">
        <v>377</v>
      </c>
      <c r="B401">
        <v>12474.693898047397</v>
      </c>
      <c r="C401">
        <v>1425.3061019526031</v>
      </c>
    </row>
    <row r="402" spans="1:3">
      <c r="A402">
        <v>378</v>
      </c>
      <c r="B402">
        <v>14374.79260556338</v>
      </c>
      <c r="C402">
        <v>-1074.7926055633798</v>
      </c>
    </row>
    <row r="403" spans="1:3">
      <c r="A403">
        <v>379</v>
      </c>
      <c r="B403">
        <v>12047.171688856299</v>
      </c>
      <c r="C403">
        <v>1052.8283111437013</v>
      </c>
    </row>
    <row r="404" spans="1:3">
      <c r="A404">
        <v>380</v>
      </c>
      <c r="B404">
        <v>13861.765954534061</v>
      </c>
      <c r="C404">
        <v>-3661.7659545340612</v>
      </c>
    </row>
    <row r="405" spans="1:3">
      <c r="A405">
        <v>381</v>
      </c>
      <c r="B405">
        <v>18203.491501208082</v>
      </c>
      <c r="C405">
        <v>-7803.4915012080819</v>
      </c>
    </row>
    <row r="406" spans="1:3">
      <c r="A406">
        <v>382</v>
      </c>
      <c r="B406">
        <v>14526.80050216466</v>
      </c>
      <c r="C406">
        <v>-3626.8005021646604</v>
      </c>
    </row>
    <row r="407" spans="1:3">
      <c r="A407">
        <v>383</v>
      </c>
      <c r="B407">
        <v>12132.676130694519</v>
      </c>
      <c r="C407">
        <v>-832.67613069451909</v>
      </c>
    </row>
    <row r="408" spans="1:3">
      <c r="A408">
        <v>384</v>
      </c>
      <c r="B408">
        <v>11220.62875108685</v>
      </c>
      <c r="C408">
        <v>1079.3712489131503</v>
      </c>
    </row>
    <row r="409" spans="1:3">
      <c r="A409">
        <v>385</v>
      </c>
      <c r="B409">
        <v>5453.8291737758445</v>
      </c>
      <c r="C409">
        <v>3346.1708262241555</v>
      </c>
    </row>
    <row r="410" spans="1:3">
      <c r="A410">
        <v>386</v>
      </c>
      <c r="B410">
        <v>5282.8202900994074</v>
      </c>
      <c r="C410">
        <v>1917.1797099005926</v>
      </c>
    </row>
    <row r="411" spans="1:3">
      <c r="A411">
        <v>387</v>
      </c>
      <c r="B411">
        <v>7686.4451551071215</v>
      </c>
      <c r="C411">
        <v>2813.5548448928785</v>
      </c>
    </row>
    <row r="412" spans="1:3">
      <c r="A412">
        <v>388</v>
      </c>
      <c r="B412">
        <v>4161.7620526649771</v>
      </c>
      <c r="C412">
        <v>3238.2379473350229</v>
      </c>
    </row>
    <row r="413" spans="1:3">
      <c r="A413">
        <v>389</v>
      </c>
      <c r="B413">
        <v>5463.3296673134246</v>
      </c>
      <c r="C413">
        <v>4736.6703326865754</v>
      </c>
    </row>
    <row r="414" spans="1:3">
      <c r="A414">
        <v>390</v>
      </c>
      <c r="B414">
        <v>14745.311853528994</v>
      </c>
      <c r="C414">
        <v>-3245.3118535289941</v>
      </c>
    </row>
    <row r="415" spans="1:3">
      <c r="A415">
        <v>391</v>
      </c>
      <c r="B415">
        <v>18298.496436583882</v>
      </c>
      <c r="C415">
        <v>-3198.4964365838823</v>
      </c>
    </row>
    <row r="416" spans="1:3">
      <c r="A416">
        <v>392</v>
      </c>
      <c r="B416">
        <v>16730.915002883194</v>
      </c>
      <c r="C416">
        <v>6469.0849971168063</v>
      </c>
    </row>
    <row r="417" spans="1:3">
      <c r="A417">
        <v>393</v>
      </c>
      <c r="B417">
        <v>10156.5734748779</v>
      </c>
      <c r="C417">
        <v>-456.57347487789957</v>
      </c>
    </row>
    <row r="418" spans="1:3">
      <c r="A418">
        <v>394</v>
      </c>
      <c r="B418">
        <v>20141.592182874381</v>
      </c>
      <c r="C418">
        <v>-6341.5921828743813</v>
      </c>
    </row>
    <row r="419" spans="1:3">
      <c r="A419">
        <v>395</v>
      </c>
      <c r="B419">
        <v>19020.533945439951</v>
      </c>
      <c r="C419">
        <v>-6320.5339454399509</v>
      </c>
    </row>
    <row r="420" spans="1:3">
      <c r="A420">
        <v>396</v>
      </c>
      <c r="B420">
        <v>18288.995943046299</v>
      </c>
      <c r="C420">
        <v>-5188.9959430462986</v>
      </c>
    </row>
    <row r="421" spans="1:3">
      <c r="A421">
        <v>397</v>
      </c>
      <c r="B421">
        <v>16151.384897090822</v>
      </c>
      <c r="C421">
        <v>-3651.3848970908221</v>
      </c>
    </row>
    <row r="422" spans="1:3">
      <c r="A422">
        <v>398</v>
      </c>
      <c r="B422">
        <v>15628.857752523923</v>
      </c>
      <c r="C422">
        <v>-7128.8577525239234</v>
      </c>
    </row>
    <row r="423" spans="1:3">
      <c r="A423">
        <v>399</v>
      </c>
      <c r="B423">
        <v>5491.8311479261647</v>
      </c>
      <c r="C423">
        <v>-491.8311479261647</v>
      </c>
    </row>
    <row r="424" spans="1:3">
      <c r="A424">
        <v>400</v>
      </c>
      <c r="B424">
        <v>6080.86174725612</v>
      </c>
      <c r="C424">
        <v>219.13825274388</v>
      </c>
    </row>
    <row r="425" spans="1:3">
      <c r="A425">
        <v>401</v>
      </c>
      <c r="B425">
        <v>9121.0196792816896</v>
      </c>
      <c r="C425">
        <v>-3521.0196792816896</v>
      </c>
    </row>
    <row r="426" spans="1:3">
      <c r="A426">
        <v>402</v>
      </c>
      <c r="B426">
        <v>15248.838011020729</v>
      </c>
      <c r="C426">
        <v>-8048.838011020729</v>
      </c>
    </row>
    <row r="427" spans="1:3">
      <c r="A427">
        <v>403</v>
      </c>
      <c r="B427">
        <v>15258.338504558313</v>
      </c>
      <c r="C427">
        <v>-3158.3385045583127</v>
      </c>
    </row>
    <row r="428" spans="1:3">
      <c r="A428">
        <v>404</v>
      </c>
      <c r="B428">
        <v>15771.365155587624</v>
      </c>
      <c r="C428">
        <v>-7471.365155587624</v>
      </c>
    </row>
    <row r="429" spans="1:3">
      <c r="A429">
        <v>405</v>
      </c>
      <c r="B429">
        <v>8541.4895734893144</v>
      </c>
      <c r="C429">
        <v>-41.489573489314353</v>
      </c>
    </row>
    <row r="430" spans="1:3">
      <c r="A430">
        <v>406</v>
      </c>
      <c r="B430">
        <v>12721.706730024474</v>
      </c>
      <c r="C430">
        <v>-7721.7067300244744</v>
      </c>
    </row>
    <row r="431" spans="1:3">
      <c r="A431">
        <v>407</v>
      </c>
      <c r="B431">
        <v>12379.688962671597</v>
      </c>
      <c r="C431">
        <v>-479.68896267159653</v>
      </c>
    </row>
    <row r="432" spans="1:3">
      <c r="A432">
        <v>408</v>
      </c>
      <c r="B432">
        <v>23029.742218298674</v>
      </c>
      <c r="C432">
        <v>4870.2577817013262</v>
      </c>
    </row>
    <row r="433" spans="1:3">
      <c r="A433">
        <v>409</v>
      </c>
      <c r="B433">
        <v>9472.5379401721475</v>
      </c>
      <c r="C433">
        <v>7727.4620598278525</v>
      </c>
    </row>
    <row r="434" spans="1:3">
      <c r="A434">
        <v>410</v>
      </c>
      <c r="B434">
        <v>15761.864662050044</v>
      </c>
      <c r="C434">
        <v>11738.135337949956</v>
      </c>
    </row>
    <row r="435" spans="1:3">
      <c r="A435">
        <v>411</v>
      </c>
      <c r="B435">
        <v>24948.841912889817</v>
      </c>
      <c r="C435">
        <v>-9948.8419128898167</v>
      </c>
    </row>
    <row r="436" spans="1:3">
      <c r="A436">
        <v>412</v>
      </c>
      <c r="B436">
        <v>14393.79359263854</v>
      </c>
      <c r="C436">
        <v>2806.2064073614602</v>
      </c>
    </row>
    <row r="437" spans="1:3">
      <c r="A437">
        <v>413</v>
      </c>
      <c r="B437">
        <v>1900.64459072096</v>
      </c>
      <c r="C437">
        <v>15999.35540927904</v>
      </c>
    </row>
    <row r="438" spans="1:3">
      <c r="A438">
        <v>414</v>
      </c>
      <c r="B438">
        <v>15476.84985592265</v>
      </c>
      <c r="C438">
        <v>823.15014407734998</v>
      </c>
    </row>
    <row r="439" spans="1:3">
      <c r="A439">
        <v>415</v>
      </c>
      <c r="B439">
        <v>-578.98422258739447</v>
      </c>
      <c r="C439">
        <v>7578.9842225873945</v>
      </c>
    </row>
    <row r="440" spans="1:3">
      <c r="A440">
        <v>416</v>
      </c>
      <c r="B440">
        <v>6954.9071527134693</v>
      </c>
      <c r="C440">
        <v>245.09284728653074</v>
      </c>
    </row>
    <row r="441" spans="1:3">
      <c r="A441">
        <v>417</v>
      </c>
      <c r="B441">
        <v>10052.068045964523</v>
      </c>
      <c r="C441">
        <v>-2552.0680459645228</v>
      </c>
    </row>
    <row r="442" spans="1:3">
      <c r="A442">
        <v>418</v>
      </c>
      <c r="B442">
        <v>9244.5260952702265</v>
      </c>
      <c r="C442">
        <v>1155.4739047297735</v>
      </c>
    </row>
    <row r="443" spans="1:3">
      <c r="A443">
        <v>419</v>
      </c>
      <c r="B443">
        <v>14963.823204893331</v>
      </c>
      <c r="C443">
        <v>-6163.8232048933314</v>
      </c>
    </row>
    <row r="444" spans="1:3">
      <c r="A444">
        <v>420</v>
      </c>
      <c r="B444">
        <v>12949.718574926395</v>
      </c>
      <c r="C444">
        <v>-4549.7185749263954</v>
      </c>
    </row>
    <row r="445" spans="1:3">
      <c r="A445">
        <v>421</v>
      </c>
      <c r="B445">
        <v>20284.099585938082</v>
      </c>
      <c r="C445">
        <v>-3584.0995859380819</v>
      </c>
    </row>
    <row r="446" spans="1:3">
      <c r="A446">
        <v>422</v>
      </c>
      <c r="B446">
        <v>19638.06602538265</v>
      </c>
      <c r="C446">
        <v>-5438.06602538265</v>
      </c>
    </row>
    <row r="447" spans="1:3">
      <c r="A447">
        <v>423</v>
      </c>
      <c r="B447">
        <v>21158.144991395435</v>
      </c>
      <c r="C447">
        <v>-358.14499139543477</v>
      </c>
    </row>
    <row r="448" spans="1:3">
      <c r="A448">
        <v>424</v>
      </c>
      <c r="B448">
        <v>12427.191430359497</v>
      </c>
      <c r="C448">
        <v>972.80856964050326</v>
      </c>
    </row>
    <row r="449" spans="1:3">
      <c r="A449">
        <v>425</v>
      </c>
      <c r="B449">
        <v>18250.993968895978</v>
      </c>
      <c r="C449">
        <v>-6550.9939688959785</v>
      </c>
    </row>
    <row r="450" spans="1:3">
      <c r="A450">
        <v>426</v>
      </c>
      <c r="B450">
        <v>11382.137141225707</v>
      </c>
      <c r="C450">
        <v>-3082.1371412257067</v>
      </c>
    </row>
    <row r="451" spans="1:3">
      <c r="A451">
        <v>427</v>
      </c>
      <c r="B451">
        <v>19647.566518920226</v>
      </c>
      <c r="C451">
        <v>-9447.5665189202264</v>
      </c>
    </row>
    <row r="452" spans="1:3">
      <c r="A452">
        <v>428</v>
      </c>
      <c r="B452">
        <v>20759.124262817077</v>
      </c>
      <c r="C452">
        <v>-9859.1242628170767</v>
      </c>
    </row>
    <row r="453" spans="1:3">
      <c r="A453">
        <v>429</v>
      </c>
      <c r="B453">
        <v>14108.778786511142</v>
      </c>
      <c r="C453">
        <v>-3108.7787865111422</v>
      </c>
    </row>
    <row r="454" spans="1:3">
      <c r="A454">
        <v>430</v>
      </c>
      <c r="B454">
        <v>11676.652440890684</v>
      </c>
      <c r="C454">
        <v>-2176.6524408906844</v>
      </c>
    </row>
    <row r="455" spans="1:3">
      <c r="A455">
        <v>431</v>
      </c>
      <c r="B455">
        <v>17794.970279092144</v>
      </c>
      <c r="C455">
        <v>-3294.9702790921438</v>
      </c>
    </row>
    <row r="456" spans="1:3">
      <c r="A456">
        <v>432</v>
      </c>
      <c r="B456">
        <v>15847.369103888264</v>
      </c>
      <c r="C456">
        <v>-1747.3691038882644</v>
      </c>
    </row>
    <row r="457" spans="1:3">
      <c r="A457">
        <v>433</v>
      </c>
      <c r="B457">
        <v>23124.747153674474</v>
      </c>
      <c r="C457">
        <v>-7024.7471536744724</v>
      </c>
    </row>
    <row r="458" spans="1:3">
      <c r="A458">
        <v>434</v>
      </c>
      <c r="B458">
        <v>19144.040361428495</v>
      </c>
      <c r="C458">
        <v>-4844.0403614284951</v>
      </c>
    </row>
    <row r="459" spans="1:3">
      <c r="A459">
        <v>435</v>
      </c>
      <c r="B459">
        <v>20141.592182874381</v>
      </c>
      <c r="C459">
        <v>-8441.5921828743813</v>
      </c>
    </row>
    <row r="460" spans="1:3">
      <c r="A460">
        <v>436</v>
      </c>
      <c r="B460">
        <v>12446.192417434657</v>
      </c>
      <c r="C460">
        <v>953.80758256534318</v>
      </c>
    </row>
    <row r="461" spans="1:3">
      <c r="A461">
        <v>437</v>
      </c>
      <c r="B461">
        <v>17405.450044051369</v>
      </c>
      <c r="C461">
        <v>-7805.4500440513693</v>
      </c>
    </row>
    <row r="462" spans="1:3">
      <c r="A462">
        <v>438</v>
      </c>
      <c r="B462">
        <v>9425.0354724842473</v>
      </c>
      <c r="C462">
        <v>-725.03547248424729</v>
      </c>
    </row>
    <row r="463" spans="1:3">
      <c r="A463">
        <v>439</v>
      </c>
      <c r="B463">
        <v>2233.1618645362541</v>
      </c>
      <c r="C463">
        <v>6166.8381354637459</v>
      </c>
    </row>
    <row r="464" spans="1:3">
      <c r="A464">
        <v>440</v>
      </c>
      <c r="B464">
        <v>12816.711665400275</v>
      </c>
      <c r="C464">
        <v>-16.711665400274796</v>
      </c>
    </row>
    <row r="465" spans="1:3">
      <c r="A465">
        <v>441</v>
      </c>
      <c r="B465">
        <v>13548.249667793927</v>
      </c>
      <c r="C465">
        <v>-3048.2496677939271</v>
      </c>
    </row>
    <row r="466" spans="1:3">
      <c r="A466">
        <v>442</v>
      </c>
      <c r="B466">
        <v>16008.877494027121</v>
      </c>
      <c r="C466">
        <v>1091.1225059728786</v>
      </c>
    </row>
    <row r="467" spans="1:3">
      <c r="A467">
        <v>443</v>
      </c>
      <c r="B467">
        <v>18792.522100538037</v>
      </c>
      <c r="C467">
        <v>-392.52210053803719</v>
      </c>
    </row>
    <row r="468" spans="1:3">
      <c r="A468">
        <v>444</v>
      </c>
      <c r="B468">
        <v>16645.410561044977</v>
      </c>
      <c r="C468">
        <v>-1245.4105610449769</v>
      </c>
    </row>
    <row r="469" spans="1:3">
      <c r="A469">
        <v>445</v>
      </c>
      <c r="B469">
        <v>11952.166753480502</v>
      </c>
      <c r="C469">
        <v>-1152.1667534805019</v>
      </c>
    </row>
    <row r="470" spans="1:3">
      <c r="A470">
        <v>446</v>
      </c>
      <c r="B470">
        <v>11771.657376266485</v>
      </c>
      <c r="C470">
        <v>28.342623733515211</v>
      </c>
    </row>
    <row r="471" spans="1:3">
      <c r="A471">
        <v>447</v>
      </c>
      <c r="B471">
        <v>17652.462876028447</v>
      </c>
      <c r="C471">
        <v>-2752.4628760284468</v>
      </c>
    </row>
    <row r="472" spans="1:3">
      <c r="A472">
        <v>448</v>
      </c>
      <c r="B472">
        <v>18935.029503601734</v>
      </c>
      <c r="C472">
        <v>-6335.0295036017342</v>
      </c>
    </row>
    <row r="473" spans="1:3">
      <c r="A473">
        <v>449</v>
      </c>
      <c r="B473">
        <v>17329.446095750733</v>
      </c>
      <c r="C473">
        <v>-3229.4460957507326</v>
      </c>
    </row>
    <row r="474" spans="1:3">
      <c r="A474">
        <v>450</v>
      </c>
      <c r="B474">
        <v>16208.387858316302</v>
      </c>
      <c r="C474">
        <v>-3208.3878583163023</v>
      </c>
    </row>
    <row r="475" spans="1:3">
      <c r="A475">
        <v>451</v>
      </c>
      <c r="B475">
        <v>17984.980149843741</v>
      </c>
      <c r="C475">
        <v>-4584.9801498437409</v>
      </c>
    </row>
    <row r="476" spans="1:3">
      <c r="A476">
        <v>452</v>
      </c>
      <c r="B476">
        <v>17709.465837253927</v>
      </c>
      <c r="C476">
        <v>-2509.465837253927</v>
      </c>
    </row>
    <row r="477" spans="1:3">
      <c r="A477">
        <v>453</v>
      </c>
      <c r="B477">
        <v>18146.488539982602</v>
      </c>
      <c r="C477">
        <v>-2046.4885399825998</v>
      </c>
    </row>
    <row r="478" spans="1:3">
      <c r="A478">
        <v>454</v>
      </c>
      <c r="B478">
        <v>18650.01469747434</v>
      </c>
      <c r="C478">
        <v>-850.01469747434021</v>
      </c>
    </row>
    <row r="479" spans="1:3">
      <c r="A479">
        <v>455</v>
      </c>
      <c r="B479">
        <v>16778.417470571094</v>
      </c>
      <c r="C479">
        <v>-1878.4174705710939</v>
      </c>
    </row>
    <row r="480" spans="1:3">
      <c r="A480">
        <v>456</v>
      </c>
      <c r="B480">
        <v>17329.446095750733</v>
      </c>
      <c r="C480">
        <v>-3229.4460957507326</v>
      </c>
    </row>
    <row r="481" spans="1:3">
      <c r="A481">
        <v>457</v>
      </c>
      <c r="B481">
        <v>16493.402664443696</v>
      </c>
      <c r="C481">
        <v>-3793.4026644436963</v>
      </c>
    </row>
    <row r="482" spans="1:3">
      <c r="A482">
        <v>458</v>
      </c>
      <c r="B482">
        <v>18460.004826722739</v>
      </c>
      <c r="C482">
        <v>-4960.0048267227394</v>
      </c>
    </row>
    <row r="483" spans="1:3">
      <c r="A483">
        <v>459</v>
      </c>
      <c r="B483">
        <v>19134.539867890911</v>
      </c>
      <c r="C483">
        <v>-4234.5398678909114</v>
      </c>
    </row>
    <row r="484" spans="1:3">
      <c r="A484">
        <v>460</v>
      </c>
      <c r="B484">
        <v>20588.11537914064</v>
      </c>
      <c r="C484">
        <v>-588.11537914063956</v>
      </c>
    </row>
    <row r="485" spans="1:3">
      <c r="A485">
        <v>461</v>
      </c>
      <c r="B485">
        <v>18954.030490676894</v>
      </c>
      <c r="C485">
        <v>-2554.0304906768943</v>
      </c>
    </row>
    <row r="486" spans="1:3">
      <c r="A486">
        <v>462</v>
      </c>
      <c r="B486">
        <v>20635.617846828536</v>
      </c>
      <c r="C486">
        <v>-2935.6178468285361</v>
      </c>
    </row>
    <row r="487" spans="1:3">
      <c r="A487">
        <v>463</v>
      </c>
      <c r="B487">
        <v>21262.650420308812</v>
      </c>
      <c r="C487">
        <v>-1762.6504203088116</v>
      </c>
    </row>
    <row r="488" spans="1:3">
      <c r="A488">
        <v>464</v>
      </c>
      <c r="B488">
        <v>24777.83302921338</v>
      </c>
      <c r="C488">
        <v>-4577.8330292133796</v>
      </c>
    </row>
    <row r="489" spans="1:3">
      <c r="A489">
        <v>465</v>
      </c>
      <c r="B489">
        <v>21994.188422702464</v>
      </c>
      <c r="C489">
        <v>-594.18842270246387</v>
      </c>
    </row>
    <row r="490" spans="1:3">
      <c r="A490">
        <v>466</v>
      </c>
      <c r="B490">
        <v>21129.643510782691</v>
      </c>
      <c r="C490">
        <v>-1229.643510782691</v>
      </c>
    </row>
    <row r="491" spans="1:3">
      <c r="A491">
        <v>467</v>
      </c>
      <c r="B491">
        <v>18260.494462433562</v>
      </c>
      <c r="C491">
        <v>739.50553756643785</v>
      </c>
    </row>
    <row r="492" spans="1:3">
      <c r="A492">
        <v>468</v>
      </c>
      <c r="B492">
        <v>14298.788657262739</v>
      </c>
      <c r="C492">
        <v>4801.2113427372606</v>
      </c>
    </row>
    <row r="493" spans="1:3">
      <c r="A493">
        <v>469</v>
      </c>
      <c r="B493">
        <v>17329.446095750733</v>
      </c>
      <c r="C493">
        <v>1770.5539042492674</v>
      </c>
    </row>
    <row r="494" spans="1:3">
      <c r="A494">
        <v>470</v>
      </c>
      <c r="B494">
        <v>20531.112417915159</v>
      </c>
      <c r="C494">
        <v>-431.11241791515931</v>
      </c>
    </row>
    <row r="495" spans="1:3">
      <c r="A495">
        <v>471</v>
      </c>
      <c r="B495">
        <v>19077.536906665435</v>
      </c>
      <c r="C495">
        <v>822.4630933345652</v>
      </c>
    </row>
    <row r="496" spans="1:3">
      <c r="A496">
        <v>472</v>
      </c>
      <c r="B496">
        <v>22326.705696517762</v>
      </c>
      <c r="C496">
        <v>-2726.7056965177617</v>
      </c>
    </row>
    <row r="497" spans="1:3">
      <c r="A497">
        <v>473</v>
      </c>
      <c r="B497">
        <v>20911.132159418354</v>
      </c>
      <c r="C497">
        <v>2288.8678405816463</v>
      </c>
    </row>
    <row r="498" spans="1:3">
      <c r="A498">
        <v>474</v>
      </c>
      <c r="B498">
        <v>23476.265414564929</v>
      </c>
      <c r="C498">
        <v>6323.7345854350715</v>
      </c>
    </row>
    <row r="499" spans="1:3">
      <c r="A499">
        <v>475</v>
      </c>
      <c r="B499">
        <v>17319.945602213149</v>
      </c>
      <c r="C499">
        <v>-3519.945602213149</v>
      </c>
    </row>
    <row r="500" spans="1:3">
      <c r="A500">
        <v>476</v>
      </c>
      <c r="B500">
        <v>11657.651453815524</v>
      </c>
      <c r="C500">
        <v>1642.3485461844757</v>
      </c>
    </row>
    <row r="501" spans="1:3">
      <c r="A501">
        <v>477</v>
      </c>
      <c r="B501">
        <v>16806.918951183834</v>
      </c>
      <c r="C501">
        <v>-106.918951183834</v>
      </c>
    </row>
    <row r="502" spans="1:3">
      <c r="A502">
        <v>478</v>
      </c>
      <c r="B502">
        <v>10888.111477271552</v>
      </c>
      <c r="C502">
        <v>1111.8885227284482</v>
      </c>
    </row>
    <row r="503" spans="1:3">
      <c r="A503">
        <v>479</v>
      </c>
      <c r="B503">
        <v>17424.451031126529</v>
      </c>
      <c r="C503">
        <v>-2824.4510311265294</v>
      </c>
    </row>
    <row r="504" spans="1:3">
      <c r="A504">
        <v>480</v>
      </c>
      <c r="B504">
        <v>22098.693851615844</v>
      </c>
      <c r="C504">
        <v>-698.69385161584432</v>
      </c>
    </row>
    <row r="505" spans="1:3">
      <c r="A505">
        <v>481</v>
      </c>
      <c r="B505">
        <v>24350.310820022281</v>
      </c>
      <c r="C505">
        <v>-1350.3108200222814</v>
      </c>
    </row>
    <row r="506" spans="1:3">
      <c r="A506">
        <v>482</v>
      </c>
      <c r="B506">
        <v>27200.458881296254</v>
      </c>
      <c r="C506">
        <v>-3500.4588812962538</v>
      </c>
    </row>
    <row r="507" spans="1:3">
      <c r="A507">
        <v>483</v>
      </c>
      <c r="B507">
        <v>27893.99490953959</v>
      </c>
      <c r="C507">
        <v>-2893.9949095395896</v>
      </c>
    </row>
    <row r="508" spans="1:3">
      <c r="A508">
        <v>484</v>
      </c>
      <c r="B508">
        <v>24654.326613224839</v>
      </c>
      <c r="C508">
        <v>-2854.3266132248391</v>
      </c>
    </row>
    <row r="509" spans="1:3">
      <c r="A509">
        <v>485</v>
      </c>
      <c r="B509">
        <v>21880.182500251507</v>
      </c>
      <c r="C509">
        <v>-1280.182500251507</v>
      </c>
    </row>
    <row r="510" spans="1:3">
      <c r="A510">
        <v>486</v>
      </c>
      <c r="B510">
        <v>24502.318716623558</v>
      </c>
      <c r="C510">
        <v>-3302.3187166235584</v>
      </c>
    </row>
    <row r="511" spans="1:3">
      <c r="A511">
        <v>487</v>
      </c>
      <c r="B511">
        <v>20322.101560088398</v>
      </c>
      <c r="C511">
        <v>-1222.1015600883984</v>
      </c>
    </row>
    <row r="512" spans="1:3">
      <c r="A512">
        <v>488</v>
      </c>
      <c r="B512">
        <v>23675.775778854109</v>
      </c>
      <c r="C512">
        <v>-3075.7757788541094</v>
      </c>
    </row>
    <row r="513" spans="1:3">
      <c r="A513">
        <v>489</v>
      </c>
      <c r="B513">
        <v>17395.949550513789</v>
      </c>
      <c r="C513">
        <v>-2195.9495505137893</v>
      </c>
    </row>
    <row r="514" spans="1:3">
      <c r="A514">
        <v>490</v>
      </c>
      <c r="B514">
        <v>11781.157869804065</v>
      </c>
      <c r="C514">
        <v>-4781.1578698040648</v>
      </c>
    </row>
    <row r="515" spans="1:3">
      <c r="A515">
        <v>491</v>
      </c>
      <c r="B515">
        <v>6356.3760598459376</v>
      </c>
      <c r="C515">
        <v>1743.6239401540624</v>
      </c>
    </row>
    <row r="516" spans="1:3">
      <c r="A516">
        <v>492</v>
      </c>
      <c r="B516">
        <v>17386.449056976209</v>
      </c>
      <c r="C516">
        <v>-3786.4490569762092</v>
      </c>
    </row>
    <row r="517" spans="1:3">
      <c r="A517">
        <v>493</v>
      </c>
      <c r="B517">
        <v>21870.682006713927</v>
      </c>
      <c r="C517">
        <v>-1770.682006713927</v>
      </c>
    </row>
    <row r="518" spans="1:3">
      <c r="A518">
        <v>494</v>
      </c>
      <c r="B518">
        <v>23143.748140749634</v>
      </c>
      <c r="C518">
        <v>-1343.7481407496343</v>
      </c>
    </row>
    <row r="519" spans="1:3">
      <c r="A519">
        <v>495</v>
      </c>
      <c r="B519">
        <v>21642.670161812006</v>
      </c>
      <c r="C519">
        <v>2857.329838187994</v>
      </c>
    </row>
    <row r="520" spans="1:3">
      <c r="A520">
        <v>496</v>
      </c>
      <c r="B520">
        <v>17832.972253242464</v>
      </c>
      <c r="C520">
        <v>5267.0277467575361</v>
      </c>
    </row>
    <row r="521" spans="1:3">
      <c r="A521">
        <v>497</v>
      </c>
      <c r="B521">
        <v>14469.797540939177</v>
      </c>
      <c r="C521">
        <v>5230.2024590608235</v>
      </c>
    </row>
    <row r="522" spans="1:3">
      <c r="A522">
        <v>498</v>
      </c>
      <c r="B522">
        <v>21158.144991395435</v>
      </c>
      <c r="C522">
        <v>-2858.1449913954348</v>
      </c>
    </row>
    <row r="523" spans="1:3">
      <c r="A523">
        <v>499</v>
      </c>
      <c r="B523">
        <v>22279.203228829865</v>
      </c>
      <c r="C523">
        <v>-1079.2032288298651</v>
      </c>
    </row>
    <row r="524" spans="1:3">
      <c r="A524">
        <v>500</v>
      </c>
      <c r="B524">
        <v>20208.095637637445</v>
      </c>
      <c r="C524">
        <v>-2708.0956376374452</v>
      </c>
    </row>
    <row r="525" spans="1:3">
      <c r="A525">
        <v>501</v>
      </c>
      <c r="B525">
        <v>20939.633640031097</v>
      </c>
      <c r="C525">
        <v>-4139.6336400310975</v>
      </c>
    </row>
    <row r="526" spans="1:3">
      <c r="A526">
        <v>502</v>
      </c>
      <c r="B526">
        <v>25366.863628543331</v>
      </c>
      <c r="C526">
        <v>-2966.8636285433313</v>
      </c>
    </row>
    <row r="527" spans="1:3">
      <c r="A527">
        <v>503</v>
      </c>
      <c r="B527">
        <v>25927.392747260546</v>
      </c>
      <c r="C527">
        <v>-5327.3927472605465</v>
      </c>
    </row>
    <row r="528" spans="1:3">
      <c r="A528">
        <v>504</v>
      </c>
      <c r="B528">
        <v>29195.562524188037</v>
      </c>
      <c r="C528">
        <v>-5295.5625241880371</v>
      </c>
    </row>
    <row r="529" spans="1:3">
      <c r="A529">
        <v>505</v>
      </c>
      <c r="B529">
        <v>28397.521067031324</v>
      </c>
      <c r="C529">
        <v>-6397.5210670313245</v>
      </c>
    </row>
    <row r="530" spans="1:3" ht="15.75" thickBot="1">
      <c r="A530" s="13">
        <v>506</v>
      </c>
      <c r="B530" s="13">
        <v>27067.451971770137</v>
      </c>
      <c r="C530" s="13">
        <v>-15167.451971770137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41256-7A83-42BA-A74C-F5141E1C0539}">
  <dimension ref="A1:Y531"/>
  <sheetViews>
    <sheetView workbookViewId="0">
      <selection activeCell="A16" sqref="A16"/>
    </sheetView>
  </sheetViews>
  <sheetFormatPr defaultRowHeight="15"/>
  <cols>
    <col min="1" max="1" width="17" customWidth="1"/>
    <col min="3" max="3" width="13.140625" customWidth="1"/>
    <col min="6" max="6" width="11.7109375" customWidth="1"/>
    <col min="8" max="8" width="11.28515625" customWidth="1"/>
    <col min="9" max="9" width="11" customWidth="1"/>
    <col min="17" max="17" width="4.7109375" style="51" customWidth="1"/>
  </cols>
  <sheetData>
    <row r="1" spans="1:25" ht="15.75">
      <c r="A1" t="s">
        <v>127</v>
      </c>
      <c r="R1" s="53" t="s">
        <v>183</v>
      </c>
      <c r="S1" t="s">
        <v>10</v>
      </c>
    </row>
    <row r="2" spans="1:25" ht="15.75" thickBot="1">
      <c r="R2" s="58" t="s">
        <v>178</v>
      </c>
      <c r="S2" s="58"/>
      <c r="T2" s="58"/>
      <c r="U2" s="58"/>
      <c r="V2" s="58"/>
      <c r="W2" s="58"/>
      <c r="X2" s="58"/>
      <c r="Y2" s="58"/>
    </row>
    <row r="3" spans="1:25">
      <c r="A3" s="44" t="s">
        <v>128</v>
      </c>
      <c r="B3" s="44"/>
      <c r="S3" t="s">
        <v>179</v>
      </c>
      <c r="T3">
        <f>-1358.27 +(-642.358*0.02)+(5094.778*7)</f>
        <v>34292.328840000002</v>
      </c>
    </row>
    <row r="4" spans="1:25">
      <c r="A4" t="s">
        <v>129</v>
      </c>
      <c r="B4">
        <v>0.79910049822305829</v>
      </c>
      <c r="S4" t="s">
        <v>180</v>
      </c>
      <c r="T4">
        <v>30000</v>
      </c>
    </row>
    <row r="5" spans="1:25">
      <c r="A5" t="s">
        <v>130</v>
      </c>
      <c r="B5">
        <v>0.63856160626033998</v>
      </c>
      <c r="S5" t="s">
        <v>188</v>
      </c>
      <c r="T5">
        <f>T3-T4</f>
        <v>4292.3288400000019</v>
      </c>
    </row>
    <row r="6" spans="1:25">
      <c r="A6" t="s">
        <v>131</v>
      </c>
      <c r="B6">
        <v>0.63712447547012263</v>
      </c>
      <c r="T6" t="s">
        <v>181</v>
      </c>
    </row>
    <row r="7" spans="1:25">
      <c r="A7" t="s">
        <v>27</v>
      </c>
      <c r="B7">
        <v>5540.2573669886724</v>
      </c>
    </row>
    <row r="8" spans="1:25" ht="16.5" thickBot="1">
      <c r="A8" s="13" t="s">
        <v>132</v>
      </c>
      <c r="B8" s="13">
        <v>506</v>
      </c>
      <c r="R8" s="53" t="s">
        <v>184</v>
      </c>
      <c r="S8" t="s">
        <v>10</v>
      </c>
    </row>
    <row r="9" spans="1:25">
      <c r="R9" t="s">
        <v>185</v>
      </c>
    </row>
    <row r="10" spans="1:25" ht="15.75" thickBot="1">
      <c r="A10" t="s">
        <v>133</v>
      </c>
      <c r="R10" t="s">
        <v>186</v>
      </c>
    </row>
    <row r="11" spans="1:25">
      <c r="A11" s="15"/>
      <c r="B11" s="15" t="s">
        <v>138</v>
      </c>
      <c r="C11" s="15" t="s">
        <v>139</v>
      </c>
      <c r="D11" s="15" t="s">
        <v>140</v>
      </c>
      <c r="E11" s="15" t="s">
        <v>141</v>
      </c>
      <c r="F11" s="15" t="s">
        <v>142</v>
      </c>
      <c r="R11" t="s">
        <v>182</v>
      </c>
    </row>
    <row r="12" spans="1:25">
      <c r="A12" t="s">
        <v>134</v>
      </c>
      <c r="B12">
        <v>2</v>
      </c>
      <c r="C12">
        <v>27276986213.706215</v>
      </c>
      <c r="D12">
        <v>13638493106.853107</v>
      </c>
      <c r="E12">
        <v>444.33089222434029</v>
      </c>
      <c r="F12">
        <v>7.0084553498680169E-112</v>
      </c>
      <c r="G12" s="12" t="s">
        <v>177</v>
      </c>
      <c r="R12" t="s">
        <v>187</v>
      </c>
    </row>
    <row r="13" spans="1:25">
      <c r="A13" t="s">
        <v>135</v>
      </c>
      <c r="B13">
        <v>503</v>
      </c>
      <c r="C13">
        <v>15439309201.313543</v>
      </c>
      <c r="D13">
        <v>30694451.692472253</v>
      </c>
    </row>
    <row r="14" spans="1:25" ht="15.75" thickBot="1">
      <c r="A14" s="13" t="s">
        <v>136</v>
      </c>
      <c r="B14" s="13">
        <v>505</v>
      </c>
      <c r="C14" s="13">
        <v>42716295415.01976</v>
      </c>
      <c r="D14" s="13"/>
      <c r="E14" s="13"/>
      <c r="F14" s="13"/>
      <c r="R14" s="52"/>
    </row>
    <row r="15" spans="1:25" ht="15.75" thickBot="1">
      <c r="R15" s="52"/>
    </row>
    <row r="16" spans="1:25">
      <c r="A16" s="15"/>
      <c r="B16" s="15" t="s">
        <v>143</v>
      </c>
      <c r="C16" s="15" t="s">
        <v>27</v>
      </c>
      <c r="D16" s="15" t="s">
        <v>144</v>
      </c>
      <c r="E16" s="15" t="s">
        <v>145</v>
      </c>
      <c r="F16" s="15" t="s">
        <v>146</v>
      </c>
      <c r="G16" s="15" t="s">
        <v>147</v>
      </c>
      <c r="H16" s="15" t="s">
        <v>148</v>
      </c>
      <c r="I16" s="15" t="s">
        <v>149</v>
      </c>
    </row>
    <row r="17" spans="1:9">
      <c r="A17" t="s">
        <v>137</v>
      </c>
      <c r="B17">
        <v>-1358.2728118745363</v>
      </c>
      <c r="C17">
        <v>3172.827779947027</v>
      </c>
      <c r="D17">
        <v>-0.42809534777119662</v>
      </c>
      <c r="E17">
        <v>0.66876494076620285</v>
      </c>
      <c r="F17">
        <v>-7591.9002818329473</v>
      </c>
      <c r="G17">
        <v>4875.3546580838747</v>
      </c>
      <c r="H17">
        <v>-7591.9002818329473</v>
      </c>
      <c r="I17">
        <v>4875.3546580838747</v>
      </c>
    </row>
    <row r="18" spans="1:9">
      <c r="A18" t="s">
        <v>2</v>
      </c>
      <c r="B18">
        <v>-642.3583342441292</v>
      </c>
      <c r="C18">
        <v>43.731464814494387</v>
      </c>
      <c r="D18">
        <v>-14.68869924593117</v>
      </c>
      <c r="E18">
        <v>6.669365480218019E-41</v>
      </c>
      <c r="F18">
        <v>-728.27716730909412</v>
      </c>
      <c r="G18">
        <v>-556.43950117916427</v>
      </c>
      <c r="H18">
        <v>-728.27716730909412</v>
      </c>
      <c r="I18">
        <v>-556.43950117916427</v>
      </c>
    </row>
    <row r="19" spans="1:9" ht="15.75" thickBot="1">
      <c r="A19" s="13" t="s">
        <v>4</v>
      </c>
      <c r="B19" s="13">
        <v>5094.7879843365445</v>
      </c>
      <c r="C19" s="13">
        <v>444.46550037718526</v>
      </c>
      <c r="D19" s="13">
        <v>11.462729908199785</v>
      </c>
      <c r="E19" s="13">
        <v>3.4722576039985946E-27</v>
      </c>
      <c r="F19" s="13">
        <v>4221.5504357651907</v>
      </c>
      <c r="G19" s="13">
        <v>5968.0255329078982</v>
      </c>
      <c r="H19" s="13">
        <v>4221.5504357651907</v>
      </c>
      <c r="I19" s="13">
        <v>5968.0255329078982</v>
      </c>
    </row>
    <row r="23" spans="1:9">
      <c r="A23" t="s">
        <v>150</v>
      </c>
    </row>
    <row r="24" spans="1:9" ht="15.75" thickBot="1"/>
    <row r="25" spans="1:9">
      <c r="A25" s="15" t="s">
        <v>50</v>
      </c>
      <c r="B25" s="15" t="s">
        <v>151</v>
      </c>
      <c r="C25" s="15" t="s">
        <v>152</v>
      </c>
    </row>
    <row r="26" spans="1:9">
      <c r="A26">
        <v>1</v>
      </c>
      <c r="B26">
        <v>28941.013680602482</v>
      </c>
      <c r="C26">
        <v>-4941.0136806024821</v>
      </c>
    </row>
    <row r="27" spans="1:9">
      <c r="A27">
        <v>2</v>
      </c>
      <c r="B27">
        <v>25484.205660559077</v>
      </c>
      <c r="C27">
        <v>-3884.2056605590769</v>
      </c>
    </row>
    <row r="28" spans="1:9">
      <c r="A28">
        <v>3</v>
      </c>
      <c r="B28">
        <v>32659.074768579696</v>
      </c>
      <c r="C28">
        <v>2040.925231420304</v>
      </c>
    </row>
    <row r="29" spans="1:9">
      <c r="A29">
        <v>4</v>
      </c>
      <c r="B29">
        <v>32406.519999834862</v>
      </c>
      <c r="C29">
        <v>993.48000016513834</v>
      </c>
    </row>
    <row r="30" spans="1:9">
      <c r="A30">
        <v>5</v>
      </c>
      <c r="B30">
        <v>31630.406990657542</v>
      </c>
      <c r="C30">
        <v>4569.5930093424577</v>
      </c>
    </row>
    <row r="31" spans="1:9">
      <c r="A31">
        <v>6</v>
      </c>
      <c r="B31">
        <v>28054.52700599753</v>
      </c>
      <c r="C31">
        <v>645.47299400246993</v>
      </c>
    </row>
    <row r="32" spans="1:9">
      <c r="A32">
        <v>7</v>
      </c>
      <c r="B32">
        <v>21287.078455302242</v>
      </c>
      <c r="C32">
        <v>1612.9215446977578</v>
      </c>
    </row>
    <row r="33" spans="1:3">
      <c r="A33">
        <v>8</v>
      </c>
      <c r="B33">
        <v>17785.596526675541</v>
      </c>
      <c r="C33">
        <v>9314.4034733244589</v>
      </c>
    </row>
    <row r="34" spans="1:3">
      <c r="A34">
        <v>9</v>
      </c>
      <c r="B34">
        <v>8104.6933839977573</v>
      </c>
      <c r="C34">
        <v>8395.3066160022427</v>
      </c>
    </row>
    <row r="35" spans="1:3">
      <c r="A35">
        <v>10</v>
      </c>
      <c r="B35">
        <v>18246.506730507463</v>
      </c>
      <c r="C35">
        <v>653.49326949253737</v>
      </c>
    </row>
    <row r="36" spans="1:3">
      <c r="A36">
        <v>11</v>
      </c>
      <c r="B36">
        <v>17994.962228947166</v>
      </c>
      <c r="C36">
        <v>-2994.9622289471663</v>
      </c>
    </row>
    <row r="37" spans="1:3">
      <c r="A37">
        <v>12</v>
      </c>
      <c r="B37">
        <v>20732.213090584166</v>
      </c>
      <c r="C37">
        <v>-1832.2130905841659</v>
      </c>
    </row>
    <row r="38" spans="1:3">
      <c r="A38">
        <v>13</v>
      </c>
      <c r="B38">
        <v>18553.484196908106</v>
      </c>
      <c r="C38">
        <v>3146.5158030918938</v>
      </c>
    </row>
    <row r="39" spans="1:3">
      <c r="A39">
        <v>14</v>
      </c>
      <c r="B39">
        <v>23644.741066087059</v>
      </c>
      <c r="C39">
        <v>-3244.7410660870592</v>
      </c>
    </row>
    <row r="40" spans="1:3">
      <c r="A40">
        <v>15</v>
      </c>
      <c r="B40">
        <v>23108.958231296274</v>
      </c>
      <c r="C40">
        <v>-4908.9582312962739</v>
      </c>
    </row>
    <row r="41" spans="1:3">
      <c r="A41">
        <v>16</v>
      </c>
      <c r="B41">
        <v>22923.945197697089</v>
      </c>
      <c r="C41">
        <v>-3023.9451976970886</v>
      </c>
    </row>
    <row r="42" spans="1:3">
      <c r="A42">
        <v>17</v>
      </c>
      <c r="B42">
        <v>24652.576035836482</v>
      </c>
      <c r="C42">
        <v>-1552.5760358364823</v>
      </c>
    </row>
    <row r="43" spans="1:3">
      <c r="A43">
        <v>18</v>
      </c>
      <c r="B43">
        <v>19736.110450939992</v>
      </c>
      <c r="C43">
        <v>-2236.110450939992</v>
      </c>
    </row>
    <row r="44" spans="1:3">
      <c r="A44">
        <v>19</v>
      </c>
      <c r="B44">
        <v>18929.721503351782</v>
      </c>
      <c r="C44">
        <v>1270.2784966482177</v>
      </c>
    </row>
    <row r="45" spans="1:3">
      <c r="A45">
        <v>20</v>
      </c>
      <c r="B45">
        <v>20573.775964147077</v>
      </c>
      <c r="C45">
        <v>-2373.7759641470766</v>
      </c>
    </row>
    <row r="46" spans="1:3">
      <c r="A46">
        <v>21</v>
      </c>
      <c r="B46">
        <v>13517.324075068422</v>
      </c>
      <c r="C46">
        <v>82.675924931578265</v>
      </c>
    </row>
    <row r="47" spans="1:3">
      <c r="A47">
        <v>22</v>
      </c>
      <c r="B47">
        <v>20148.321752096643</v>
      </c>
      <c r="C47">
        <v>-548.32175209664274</v>
      </c>
    </row>
    <row r="48" spans="1:3">
      <c r="A48">
        <v>23</v>
      </c>
      <c r="B48">
        <v>17908.966970870424</v>
      </c>
      <c r="C48">
        <v>-2708.9669708704241</v>
      </c>
    </row>
    <row r="49" spans="1:3">
      <c r="A49">
        <v>24</v>
      </c>
      <c r="B49">
        <v>15487.646056300508</v>
      </c>
      <c r="C49">
        <v>-987.64605630050755</v>
      </c>
    </row>
    <row r="50" spans="1:3">
      <c r="A50">
        <v>25</v>
      </c>
      <c r="B50">
        <v>18352.810359155847</v>
      </c>
      <c r="C50">
        <v>-2752.8103591558465</v>
      </c>
    </row>
    <row r="51" spans="1:3">
      <c r="A51">
        <v>26</v>
      </c>
      <c r="B51">
        <v>16562.109014055204</v>
      </c>
      <c r="C51">
        <v>-2662.1090140552042</v>
      </c>
    </row>
    <row r="52" spans="1:3">
      <c r="A52">
        <v>27</v>
      </c>
      <c r="B52">
        <v>18744.40281091824</v>
      </c>
      <c r="C52">
        <v>-2144.40281091824</v>
      </c>
    </row>
    <row r="53" spans="1:3">
      <c r="A53">
        <v>28</v>
      </c>
      <c r="B53">
        <v>18349.958113669993</v>
      </c>
      <c r="C53">
        <v>-3549.9581136699926</v>
      </c>
    </row>
    <row r="54" spans="1:3">
      <c r="A54">
        <v>29</v>
      </c>
      <c r="B54">
        <v>23510.188468066466</v>
      </c>
      <c r="C54">
        <v>-5110.1884680664662</v>
      </c>
    </row>
    <row r="55" spans="1:3">
      <c r="A55">
        <v>30</v>
      </c>
      <c r="B55">
        <v>24948.889351342892</v>
      </c>
      <c r="C55">
        <v>-3948.889351342892</v>
      </c>
    </row>
    <row r="56" spans="1:3">
      <c r="A56">
        <v>31</v>
      </c>
      <c r="B56">
        <v>13230.952588722821</v>
      </c>
      <c r="C56">
        <v>-530.95258872282102</v>
      </c>
    </row>
    <row r="57" spans="1:3">
      <c r="A57">
        <v>32</v>
      </c>
      <c r="B57">
        <v>21200.927150473519</v>
      </c>
      <c r="C57">
        <v>-6700.9271504735189</v>
      </c>
    </row>
    <row r="58" spans="1:3">
      <c r="A58">
        <v>33</v>
      </c>
      <c r="B58">
        <v>11155.966253023085</v>
      </c>
      <c r="C58">
        <v>2044.0337469769147</v>
      </c>
    </row>
    <row r="59" spans="1:3">
      <c r="A59">
        <v>34</v>
      </c>
      <c r="B59">
        <v>15899.838053448329</v>
      </c>
      <c r="C59">
        <v>-2799.8380534483294</v>
      </c>
    </row>
    <row r="60" spans="1:3">
      <c r="A60">
        <v>35</v>
      </c>
      <c r="B60">
        <v>16633.986222115454</v>
      </c>
      <c r="C60">
        <v>-3133.9862221154544</v>
      </c>
    </row>
    <row r="61" spans="1:3">
      <c r="A61">
        <v>36</v>
      </c>
      <c r="B61">
        <v>22651.075623711011</v>
      </c>
      <c r="C61">
        <v>-3751.0756237110108</v>
      </c>
    </row>
    <row r="62" spans="1:3">
      <c r="A62">
        <v>37</v>
      </c>
      <c r="B62">
        <v>21071.075210909708</v>
      </c>
      <c r="C62">
        <v>-1071.0752109097084</v>
      </c>
    </row>
    <row r="63" spans="1:3">
      <c r="A63">
        <v>38</v>
      </c>
      <c r="B63">
        <v>22812.754305173235</v>
      </c>
      <c r="C63">
        <v>-1812.7543051732355</v>
      </c>
    </row>
    <row r="64" spans="1:3">
      <c r="A64">
        <v>39</v>
      </c>
      <c r="B64">
        <v>22530.142376784261</v>
      </c>
      <c r="C64">
        <v>2169.8576232157393</v>
      </c>
    </row>
    <row r="65" spans="1:3">
      <c r="A65">
        <v>40</v>
      </c>
      <c r="B65">
        <v>29466.865940890333</v>
      </c>
      <c r="C65">
        <v>1333.1340591096669</v>
      </c>
    </row>
    <row r="66" spans="1:3">
      <c r="A66">
        <v>41</v>
      </c>
      <c r="B66">
        <v>33155.648488301973</v>
      </c>
      <c r="C66">
        <v>1744.351511698027</v>
      </c>
    </row>
    <row r="67" spans="1:3">
      <c r="A67">
        <v>42</v>
      </c>
      <c r="B67">
        <v>30024.427504342286</v>
      </c>
      <c r="C67">
        <v>-3424.4275043422858</v>
      </c>
    </row>
    <row r="68" spans="1:3">
      <c r="A68">
        <v>43</v>
      </c>
      <c r="B68">
        <v>26339.372341539212</v>
      </c>
      <c r="C68">
        <v>-1039.3723415392124</v>
      </c>
    </row>
    <row r="69" spans="1:3">
      <c r="A69">
        <v>44</v>
      </c>
      <c r="B69">
        <v>25506.309352063421</v>
      </c>
      <c r="C69">
        <v>-806.3093520634211</v>
      </c>
    </row>
    <row r="70" spans="1:3">
      <c r="A70">
        <v>45</v>
      </c>
      <c r="B70">
        <v>23427.473373032517</v>
      </c>
      <c r="C70">
        <v>-2227.473373032517</v>
      </c>
    </row>
    <row r="71" spans="1:3">
      <c r="A71">
        <v>46</v>
      </c>
      <c r="B71">
        <v>21031.833922493151</v>
      </c>
      <c r="C71">
        <v>-1731.8339224931515</v>
      </c>
    </row>
    <row r="72" spans="1:3">
      <c r="A72">
        <v>47</v>
      </c>
      <c r="B72">
        <v>19030.80003594228</v>
      </c>
      <c r="C72">
        <v>969.19996405771963</v>
      </c>
    </row>
    <row r="73" spans="1:3">
      <c r="A73">
        <v>48</v>
      </c>
      <c r="B73">
        <v>17286.962049885195</v>
      </c>
      <c r="C73">
        <v>-686.96204988519457</v>
      </c>
    </row>
    <row r="74" spans="1:3">
      <c r="A74">
        <v>49</v>
      </c>
      <c r="B74">
        <v>6357.4272374968459</v>
      </c>
      <c r="C74">
        <v>8042.5727625031541</v>
      </c>
    </row>
    <row r="75" spans="1:3">
      <c r="A75">
        <v>50</v>
      </c>
      <c r="B75">
        <v>16776.524461623892</v>
      </c>
      <c r="C75">
        <v>2623.4755383761076</v>
      </c>
    </row>
    <row r="76" spans="1:3">
      <c r="A76">
        <v>51</v>
      </c>
      <c r="B76">
        <v>20382.228343140741</v>
      </c>
      <c r="C76">
        <v>-682.22834314074134</v>
      </c>
    </row>
    <row r="77" spans="1:3">
      <c r="A77">
        <v>52</v>
      </c>
      <c r="B77">
        <v>23738.916620421296</v>
      </c>
      <c r="C77">
        <v>-3238.9166204212961</v>
      </c>
    </row>
    <row r="78" spans="1:3">
      <c r="A78">
        <v>53</v>
      </c>
      <c r="B78">
        <v>28422.239749331704</v>
      </c>
      <c r="C78">
        <v>-3422.2397493317039</v>
      </c>
    </row>
    <row r="79" spans="1:3">
      <c r="A79">
        <v>54</v>
      </c>
      <c r="B79">
        <v>23785.18476049805</v>
      </c>
      <c r="C79">
        <v>-385.18476049805031</v>
      </c>
    </row>
    <row r="80" spans="1:3">
      <c r="A80">
        <v>55</v>
      </c>
      <c r="B80">
        <v>19132.935493085923</v>
      </c>
      <c r="C80">
        <v>-232.93549308592264</v>
      </c>
    </row>
    <row r="81" spans="1:3">
      <c r="A81">
        <v>56</v>
      </c>
      <c r="B81">
        <v>32484.101698866813</v>
      </c>
      <c r="C81">
        <v>2915.8983011331875</v>
      </c>
    </row>
    <row r="82" spans="1:3">
      <c r="A82">
        <v>57</v>
      </c>
      <c r="B82">
        <v>27455.351303556999</v>
      </c>
      <c r="C82">
        <v>-2755.3513035569995</v>
      </c>
    </row>
    <row r="83" spans="1:3">
      <c r="A83">
        <v>58</v>
      </c>
      <c r="B83">
        <v>30830.486669099042</v>
      </c>
      <c r="C83">
        <v>769.51333090095795</v>
      </c>
    </row>
    <row r="84" spans="1:3">
      <c r="A84">
        <v>59</v>
      </c>
      <c r="B84">
        <v>25542.621178958801</v>
      </c>
      <c r="C84">
        <v>-2242.6211789588015</v>
      </c>
    </row>
    <row r="85" spans="1:3">
      <c r="A85">
        <v>60</v>
      </c>
      <c r="B85">
        <v>22915.991729557289</v>
      </c>
      <c r="C85">
        <v>-3315.9917295572886</v>
      </c>
    </row>
    <row r="86" spans="1:3">
      <c r="A86">
        <v>61</v>
      </c>
      <c r="B86">
        <v>19443.892910891263</v>
      </c>
      <c r="C86">
        <v>-743.89291089126345</v>
      </c>
    </row>
    <row r="87" spans="1:3">
      <c r="A87">
        <v>62</v>
      </c>
      <c r="B87">
        <v>19761.577956192064</v>
      </c>
      <c r="C87">
        <v>-3761.5779561920644</v>
      </c>
    </row>
    <row r="88" spans="1:3">
      <c r="A88">
        <v>63</v>
      </c>
      <c r="B88">
        <v>27210.606825539209</v>
      </c>
      <c r="C88">
        <v>-5010.6068255392092</v>
      </c>
    </row>
    <row r="89" spans="1:3">
      <c r="A89">
        <v>64</v>
      </c>
      <c r="B89">
        <v>26990.279362889945</v>
      </c>
      <c r="C89">
        <v>-1990.2793628899453</v>
      </c>
    </row>
    <row r="90" spans="1:3">
      <c r="A90">
        <v>65</v>
      </c>
      <c r="B90">
        <v>29664.116438187033</v>
      </c>
      <c r="C90">
        <v>3335.8835618129669</v>
      </c>
    </row>
    <row r="91" spans="1:3">
      <c r="A91">
        <v>66</v>
      </c>
      <c r="B91">
        <v>27688.130188682244</v>
      </c>
      <c r="C91">
        <v>-4188.1301886822439</v>
      </c>
    </row>
    <row r="92" spans="1:3">
      <c r="A92">
        <v>67</v>
      </c>
      <c r="B92">
        <v>21547.515910821166</v>
      </c>
      <c r="C92">
        <v>-2147.5159108211665</v>
      </c>
    </row>
    <row r="93" spans="1:3">
      <c r="A93">
        <v>68</v>
      </c>
      <c r="B93">
        <v>23385.788452678225</v>
      </c>
      <c r="C93">
        <v>-1385.7884526782254</v>
      </c>
    </row>
    <row r="94" spans="1:3">
      <c r="A94">
        <v>69</v>
      </c>
      <c r="B94">
        <v>18733.500577248444</v>
      </c>
      <c r="C94">
        <v>-1333.5005772484437</v>
      </c>
    </row>
    <row r="95" spans="1:3">
      <c r="A95">
        <v>70</v>
      </c>
      <c r="B95">
        <v>22978.224717940131</v>
      </c>
      <c r="C95">
        <v>-2078.2247179401311</v>
      </c>
    </row>
    <row r="96" spans="1:3">
      <c r="A96">
        <v>71</v>
      </c>
      <c r="B96">
        <v>27018.333677492523</v>
      </c>
      <c r="C96">
        <v>-2818.3336774925228</v>
      </c>
    </row>
    <row r="97" spans="1:3">
      <c r="A97">
        <v>72</v>
      </c>
      <c r="B97">
        <v>22665.258020423607</v>
      </c>
      <c r="C97">
        <v>-965.25802042360738</v>
      </c>
    </row>
    <row r="98" spans="1:3">
      <c r="A98">
        <v>73</v>
      </c>
      <c r="B98">
        <v>25995.798308099016</v>
      </c>
      <c r="C98">
        <v>-3195.7983080990161</v>
      </c>
    </row>
    <row r="99" spans="1:3">
      <c r="A99">
        <v>74</v>
      </c>
      <c r="B99">
        <v>25615.296310106449</v>
      </c>
      <c r="C99">
        <v>-2215.2963101064488</v>
      </c>
    </row>
    <row r="100" spans="1:3">
      <c r="A100">
        <v>75</v>
      </c>
      <c r="B100">
        <v>26246.142707693409</v>
      </c>
      <c r="C100">
        <v>-2146.1427076934087</v>
      </c>
    </row>
    <row r="101" spans="1:3">
      <c r="A101">
        <v>76</v>
      </c>
      <c r="B101">
        <v>24924.880949522463</v>
      </c>
      <c r="C101">
        <v>-3524.8809495224632</v>
      </c>
    </row>
    <row r="102" spans="1:3">
      <c r="A102">
        <v>77</v>
      </c>
      <c r="B102">
        <v>22942.871680872398</v>
      </c>
      <c r="C102">
        <v>-2942.8716808723984</v>
      </c>
    </row>
    <row r="103" spans="1:3">
      <c r="A103">
        <v>78</v>
      </c>
      <c r="B103">
        <v>23326.705319264638</v>
      </c>
      <c r="C103">
        <v>-2526.7053192646381</v>
      </c>
    </row>
    <row r="104" spans="1:3">
      <c r="A104">
        <v>79</v>
      </c>
      <c r="B104">
        <v>22465.744061938254</v>
      </c>
      <c r="C104">
        <v>-1265.7440619382542</v>
      </c>
    </row>
    <row r="105" spans="1:3">
      <c r="A105">
        <v>80</v>
      </c>
      <c r="B105">
        <v>22723.05096649675</v>
      </c>
      <c r="C105">
        <v>-2423.0509664967503</v>
      </c>
    </row>
    <row r="106" spans="1:3">
      <c r="A106">
        <v>81</v>
      </c>
      <c r="B106">
        <v>29516.290370605959</v>
      </c>
      <c r="C106">
        <v>-1516.2903706059587</v>
      </c>
    </row>
    <row r="107" spans="1:3">
      <c r="A107">
        <v>82</v>
      </c>
      <c r="B107">
        <v>27726.301683206439</v>
      </c>
      <c r="C107">
        <v>-3826.3016832064386</v>
      </c>
    </row>
    <row r="108" spans="1:3">
      <c r="A108">
        <v>83</v>
      </c>
      <c r="B108">
        <v>26432.433059293817</v>
      </c>
      <c r="C108">
        <v>-1632.4330592938168</v>
      </c>
    </row>
    <row r="109" spans="1:3">
      <c r="A109">
        <v>84</v>
      </c>
      <c r="B109">
        <v>25237.173597355522</v>
      </c>
      <c r="C109">
        <v>-2337.1735973555224</v>
      </c>
    </row>
    <row r="110" spans="1:3">
      <c r="A110">
        <v>85</v>
      </c>
      <c r="B110">
        <v>25012.840444623125</v>
      </c>
      <c r="C110">
        <v>-1112.8404446231252</v>
      </c>
    </row>
    <row r="111" spans="1:3">
      <c r="A111">
        <v>86</v>
      </c>
      <c r="B111">
        <v>28225.571601662588</v>
      </c>
      <c r="C111">
        <v>-1625.5716016625884</v>
      </c>
    </row>
    <row r="112" spans="1:3">
      <c r="A112">
        <v>87</v>
      </c>
      <c r="B112">
        <v>21026.148735530278</v>
      </c>
      <c r="C112">
        <v>1473.8512644697221</v>
      </c>
    </row>
    <row r="113" spans="1:3">
      <c r="A113">
        <v>88</v>
      </c>
      <c r="B113">
        <v>24405.420099229006</v>
      </c>
      <c r="C113">
        <v>-2205.4200992290062</v>
      </c>
    </row>
    <row r="114" spans="1:3">
      <c r="A114">
        <v>89</v>
      </c>
      <c r="B114">
        <v>30807.935756028917</v>
      </c>
      <c r="C114">
        <v>-7207.9357560289172</v>
      </c>
    </row>
    <row r="115" spans="1:3">
      <c r="A115">
        <v>90</v>
      </c>
      <c r="B115">
        <v>31046.288824052324</v>
      </c>
      <c r="C115">
        <v>-2346.2888240523243</v>
      </c>
    </row>
    <row r="116" spans="1:3">
      <c r="A116">
        <v>91</v>
      </c>
      <c r="B116">
        <v>25675.804758922292</v>
      </c>
      <c r="C116">
        <v>-3075.8047589222915</v>
      </c>
    </row>
    <row r="117" spans="1:3">
      <c r="A117">
        <v>92</v>
      </c>
      <c r="B117">
        <v>26006.505886999174</v>
      </c>
      <c r="C117">
        <v>-4006.5058869991735</v>
      </c>
    </row>
    <row r="118" spans="1:3">
      <c r="A118">
        <v>93</v>
      </c>
      <c r="B118">
        <v>26220.707375789389</v>
      </c>
      <c r="C118">
        <v>-3320.7073757893886</v>
      </c>
    </row>
    <row r="119" spans="1:3">
      <c r="A119">
        <v>94</v>
      </c>
      <c r="B119">
        <v>26296.410103183702</v>
      </c>
      <c r="C119">
        <v>-1296.4101031837017</v>
      </c>
    </row>
    <row r="120" spans="1:3">
      <c r="A120">
        <v>95</v>
      </c>
      <c r="B120">
        <v>23676.482542599198</v>
      </c>
      <c r="C120">
        <v>-3076.4825425991985</v>
      </c>
    </row>
    <row r="121" spans="1:3">
      <c r="A121">
        <v>96</v>
      </c>
      <c r="B121">
        <v>28123.014661631609</v>
      </c>
      <c r="C121">
        <v>276.98533836839124</v>
      </c>
    </row>
    <row r="122" spans="1:3">
      <c r="A122">
        <v>97</v>
      </c>
      <c r="B122">
        <v>22756.562025263163</v>
      </c>
      <c r="C122">
        <v>-1356.5620252631634</v>
      </c>
    </row>
    <row r="123" spans="1:3">
      <c r="A123">
        <v>98</v>
      </c>
      <c r="B123">
        <v>37047.242846569257</v>
      </c>
      <c r="C123">
        <v>1652.7571534307426</v>
      </c>
    </row>
    <row r="124" spans="1:3">
      <c r="A124">
        <v>99</v>
      </c>
      <c r="B124">
        <v>36189.749972385704</v>
      </c>
      <c r="C124">
        <v>7610.2500276142964</v>
      </c>
    </row>
    <row r="125" spans="1:3">
      <c r="A125">
        <v>100</v>
      </c>
      <c r="B125">
        <v>32448.476790994118</v>
      </c>
      <c r="C125">
        <v>751.52320900588165</v>
      </c>
    </row>
    <row r="126" spans="1:3">
      <c r="A126">
        <v>101</v>
      </c>
      <c r="B126">
        <v>26863.350450177702</v>
      </c>
      <c r="C126">
        <v>636.64954982229756</v>
      </c>
    </row>
    <row r="127" spans="1:3">
      <c r="A127">
        <v>102</v>
      </c>
      <c r="B127">
        <v>28262.596086259098</v>
      </c>
      <c r="C127">
        <v>-1762.5960862590982</v>
      </c>
    </row>
    <row r="128" spans="1:3">
      <c r="A128">
        <v>103</v>
      </c>
      <c r="B128">
        <v>24445.57513478594</v>
      </c>
      <c r="C128">
        <v>-5845.5751347859405</v>
      </c>
    </row>
    <row r="129" spans="1:3">
      <c r="A129">
        <v>104</v>
      </c>
      <c r="B129">
        <v>21275.145035757741</v>
      </c>
      <c r="C129">
        <v>-1975.1450357577414</v>
      </c>
    </row>
    <row r="130" spans="1:3">
      <c r="A130">
        <v>105</v>
      </c>
      <c r="B130">
        <v>22141.00642629882</v>
      </c>
      <c r="C130">
        <v>-2041.0064262988199</v>
      </c>
    </row>
    <row r="131" spans="1:3">
      <c r="A131">
        <v>106</v>
      </c>
      <c r="B131">
        <v>17871.689919477776</v>
      </c>
      <c r="C131">
        <v>1628.3100805222239</v>
      </c>
    </row>
    <row r="132" spans="1:3">
      <c r="A132">
        <v>107</v>
      </c>
      <c r="B132">
        <v>16388.503347718091</v>
      </c>
      <c r="C132">
        <v>3111.4966522819086</v>
      </c>
    </row>
    <row r="133" spans="1:3">
      <c r="A133">
        <v>108</v>
      </c>
      <c r="B133">
        <v>20806.664238655692</v>
      </c>
      <c r="C133">
        <v>-406.66423865569232</v>
      </c>
    </row>
    <row r="134" spans="1:3">
      <c r="A134">
        <v>109</v>
      </c>
      <c r="B134">
        <v>23743.647837544784</v>
      </c>
      <c r="C134">
        <v>-3943.6478375447841</v>
      </c>
    </row>
    <row r="135" spans="1:3">
      <c r="A135">
        <v>110</v>
      </c>
      <c r="B135">
        <v>20388.48944506159</v>
      </c>
      <c r="C135">
        <v>-988.48944506159023</v>
      </c>
    </row>
    <row r="136" spans="1:3">
      <c r="A136">
        <v>111</v>
      </c>
      <c r="B136">
        <v>21853.280405916681</v>
      </c>
      <c r="C136">
        <v>-153.28040591668105</v>
      </c>
    </row>
    <row r="137" spans="1:3">
      <c r="A137">
        <v>112</v>
      </c>
      <c r="B137">
        <v>26326.867827025002</v>
      </c>
      <c r="C137">
        <v>-3526.867827025002</v>
      </c>
    </row>
    <row r="138" spans="1:3">
      <c r="A138">
        <v>113</v>
      </c>
      <c r="B138">
        <v>18354.57994141012</v>
      </c>
      <c r="C138">
        <v>445.42005858987977</v>
      </c>
    </row>
    <row r="139" spans="1:3">
      <c r="A139">
        <v>114</v>
      </c>
      <c r="B139">
        <v>18701.271656471523</v>
      </c>
      <c r="C139">
        <v>-1.2716564715228742</v>
      </c>
    </row>
    <row r="140" spans="1:3">
      <c r="A140">
        <v>115</v>
      </c>
      <c r="B140">
        <v>23791.88664931506</v>
      </c>
      <c r="C140">
        <v>-5291.8866493150599</v>
      </c>
    </row>
    <row r="141" spans="1:3">
      <c r="A141">
        <v>116</v>
      </c>
      <c r="B141">
        <v>18720.063011585022</v>
      </c>
      <c r="C141">
        <v>-420.06301158502174</v>
      </c>
    </row>
    <row r="142" spans="1:3">
      <c r="A142">
        <v>117</v>
      </c>
      <c r="B142">
        <v>22373.143435088648</v>
      </c>
      <c r="C142">
        <v>-1173.1434350886484</v>
      </c>
    </row>
    <row r="143" spans="1:3">
      <c r="A143">
        <v>118</v>
      </c>
      <c r="B143">
        <v>22701.154799101267</v>
      </c>
      <c r="C143">
        <v>-3501.1547991012667</v>
      </c>
    </row>
    <row r="144" spans="1:3">
      <c r="A144">
        <v>119</v>
      </c>
      <c r="B144">
        <v>18685.274634817386</v>
      </c>
      <c r="C144">
        <v>1714.725365182614</v>
      </c>
    </row>
    <row r="145" spans="1:3">
      <c r="A145">
        <v>120</v>
      </c>
      <c r="B145">
        <v>19097.460197295601</v>
      </c>
      <c r="C145">
        <v>202.53980270439934</v>
      </c>
    </row>
    <row r="146" spans="1:3">
      <c r="A146">
        <v>121</v>
      </c>
      <c r="B146">
        <v>19317.443393092843</v>
      </c>
      <c r="C146">
        <v>2682.5566069071574</v>
      </c>
    </row>
    <row r="147" spans="1:3">
      <c r="A147">
        <v>122</v>
      </c>
      <c r="B147">
        <v>20064.38081641835</v>
      </c>
      <c r="C147">
        <v>235.61918358164985</v>
      </c>
    </row>
    <row r="148" spans="1:3">
      <c r="A148">
        <v>123</v>
      </c>
      <c r="B148">
        <v>17494.273429758367</v>
      </c>
      <c r="C148">
        <v>3005.7265702416335</v>
      </c>
    </row>
    <row r="149" spans="1:3">
      <c r="A149">
        <v>124</v>
      </c>
      <c r="B149">
        <v>12154.480351256945</v>
      </c>
      <c r="C149">
        <v>5145.5196487430549</v>
      </c>
    </row>
    <row r="150" spans="1:3">
      <c r="A150">
        <v>125</v>
      </c>
      <c r="B150">
        <v>17301.326232028216</v>
      </c>
      <c r="C150">
        <v>1498.6737679717844</v>
      </c>
    </row>
    <row r="151" spans="1:3">
      <c r="A151">
        <v>126</v>
      </c>
      <c r="B151">
        <v>19625.801132208464</v>
      </c>
      <c r="C151">
        <v>1774.198867791536</v>
      </c>
    </row>
    <row r="152" spans="1:3">
      <c r="A152">
        <v>127</v>
      </c>
      <c r="B152">
        <v>9728.0839527115277</v>
      </c>
      <c r="C152">
        <v>5971.9160472884723</v>
      </c>
    </row>
    <row r="153" spans="1:3">
      <c r="A153">
        <v>128</v>
      </c>
      <c r="B153">
        <v>16604.215417296826</v>
      </c>
      <c r="C153">
        <v>-404.21541729682576</v>
      </c>
    </row>
    <row r="154" spans="1:3">
      <c r="A154">
        <v>129</v>
      </c>
      <c r="B154">
        <v>21520.413951376635</v>
      </c>
      <c r="C154">
        <v>-3520.4139513766349</v>
      </c>
    </row>
    <row r="155" spans="1:3">
      <c r="A155">
        <v>130</v>
      </c>
      <c r="B155">
        <v>15580.195205793234</v>
      </c>
      <c r="C155">
        <v>-1280.195205793234</v>
      </c>
    </row>
    <row r="156" spans="1:3">
      <c r="A156">
        <v>131</v>
      </c>
      <c r="B156">
        <v>23450.152979494836</v>
      </c>
      <c r="C156">
        <v>-4250.1529794948365</v>
      </c>
    </row>
    <row r="157" spans="1:3">
      <c r="A157">
        <v>132</v>
      </c>
      <c r="B157">
        <v>22996.042799205417</v>
      </c>
      <c r="C157">
        <v>-3396.0427992054174</v>
      </c>
    </row>
    <row r="158" spans="1:3">
      <c r="A158">
        <v>133</v>
      </c>
      <c r="B158">
        <v>23962.691547523205</v>
      </c>
      <c r="C158">
        <v>-962.69154752320537</v>
      </c>
    </row>
    <row r="159" spans="1:3">
      <c r="A159">
        <v>134</v>
      </c>
      <c r="B159">
        <v>18648.937069243562</v>
      </c>
      <c r="C159">
        <v>-248.93706924356229</v>
      </c>
    </row>
    <row r="160" spans="1:3">
      <c r="A160">
        <v>135</v>
      </c>
      <c r="B160">
        <v>16853.198848185071</v>
      </c>
      <c r="C160">
        <v>-1253.1988481850713</v>
      </c>
    </row>
    <row r="161" spans="1:3">
      <c r="A161">
        <v>136</v>
      </c>
      <c r="B161">
        <v>20022.811720117039</v>
      </c>
      <c r="C161">
        <v>-1922.8117201170389</v>
      </c>
    </row>
    <row r="162" spans="1:3">
      <c r="A162">
        <v>137</v>
      </c>
      <c r="B162">
        <v>18059.101542327429</v>
      </c>
      <c r="C162">
        <v>-659.10154232742934</v>
      </c>
    </row>
    <row r="163" spans="1:3">
      <c r="A163">
        <v>138</v>
      </c>
      <c r="B163">
        <v>22151.480742411673</v>
      </c>
      <c r="C163">
        <v>-5051.4807424116734</v>
      </c>
    </row>
    <row r="164" spans="1:3">
      <c r="A164">
        <v>139</v>
      </c>
      <c r="B164">
        <v>14786.820726299771</v>
      </c>
      <c r="C164">
        <v>-1486.8207262997712</v>
      </c>
    </row>
    <row r="165" spans="1:3">
      <c r="A165">
        <v>140</v>
      </c>
      <c r="B165">
        <v>18121.833229632924</v>
      </c>
      <c r="C165">
        <v>-321.83322963292449</v>
      </c>
    </row>
    <row r="166" spans="1:3">
      <c r="A166">
        <v>141</v>
      </c>
      <c r="B166">
        <v>14577.57084808113</v>
      </c>
      <c r="C166">
        <v>-577.57084808112995</v>
      </c>
    </row>
    <row r="167" spans="1:3">
      <c r="A167">
        <v>142</v>
      </c>
      <c r="B167">
        <v>2108.9178001701002</v>
      </c>
      <c r="C167">
        <v>12291.0821998299</v>
      </c>
    </row>
    <row r="168" spans="1:3">
      <c r="A168">
        <v>143</v>
      </c>
      <c r="B168">
        <v>8940.8161430682667</v>
      </c>
      <c r="C168">
        <v>4459.1838569317333</v>
      </c>
    </row>
    <row r="169" spans="1:3">
      <c r="A169">
        <v>144</v>
      </c>
      <c r="B169">
        <v>9528.9206957477945</v>
      </c>
      <c r="C169">
        <v>6071.0793042522055</v>
      </c>
    </row>
    <row r="170" spans="1:3">
      <c r="A170">
        <v>145</v>
      </c>
      <c r="B170">
        <v>4806.7970653169941</v>
      </c>
      <c r="C170">
        <v>6993.2029346830059</v>
      </c>
    </row>
    <row r="171" spans="1:3">
      <c r="A171">
        <v>146</v>
      </c>
      <c r="B171">
        <v>12015.215840121688</v>
      </c>
      <c r="C171">
        <v>1784.7841598783125</v>
      </c>
    </row>
    <row r="172" spans="1:3">
      <c r="A172">
        <v>147</v>
      </c>
      <c r="B172">
        <v>16619.927698806787</v>
      </c>
      <c r="C172">
        <v>-1019.9276988067868</v>
      </c>
    </row>
    <row r="173" spans="1:3">
      <c r="A173">
        <v>148</v>
      </c>
      <c r="B173">
        <v>4769.8111887381456</v>
      </c>
      <c r="C173">
        <v>9830.1888112618544</v>
      </c>
    </row>
    <row r="174" spans="1:3">
      <c r="A174">
        <v>149</v>
      </c>
      <c r="B174">
        <v>6871.7096491010452</v>
      </c>
      <c r="C174">
        <v>10928.290350898955</v>
      </c>
    </row>
    <row r="175" spans="1:3">
      <c r="A175">
        <v>150</v>
      </c>
      <c r="B175">
        <v>13378.669266920535</v>
      </c>
      <c r="C175">
        <v>2021.3307330794651</v>
      </c>
    </row>
    <row r="176" spans="1:3">
      <c r="A176">
        <v>151</v>
      </c>
      <c r="B176">
        <v>20774.766715391568</v>
      </c>
      <c r="C176">
        <v>725.23328460843186</v>
      </c>
    </row>
    <row r="177" spans="1:3">
      <c r="A177">
        <v>152</v>
      </c>
      <c r="B177">
        <v>17643.442776718111</v>
      </c>
      <c r="C177">
        <v>1956.5572232818886</v>
      </c>
    </row>
    <row r="178" spans="1:3">
      <c r="A178">
        <v>153</v>
      </c>
      <c r="B178">
        <v>16391.421554581379</v>
      </c>
      <c r="C178">
        <v>-1091.4215545813786</v>
      </c>
    </row>
    <row r="179" spans="1:3">
      <c r="A179">
        <v>154</v>
      </c>
      <c r="B179">
        <v>17585.033692987992</v>
      </c>
      <c r="C179">
        <v>1814.9663070120077</v>
      </c>
    </row>
    <row r="180" spans="1:3">
      <c r="A180">
        <v>155</v>
      </c>
      <c r="B180">
        <v>20155.224730352911</v>
      </c>
      <c r="C180">
        <v>-3155.2247303529111</v>
      </c>
    </row>
    <row r="181" spans="1:3">
      <c r="A181">
        <v>156</v>
      </c>
      <c r="B181">
        <v>20336.640687417064</v>
      </c>
      <c r="C181">
        <v>-4736.6406874170643</v>
      </c>
    </row>
    <row r="182" spans="1:3">
      <c r="A182">
        <v>157</v>
      </c>
      <c r="B182">
        <v>15133.785926847482</v>
      </c>
      <c r="C182">
        <v>-2033.7859268474822</v>
      </c>
    </row>
    <row r="183" spans="1:3">
      <c r="A183">
        <v>158</v>
      </c>
      <c r="B183">
        <v>31066.415409193534</v>
      </c>
      <c r="C183">
        <v>10233.584590806466</v>
      </c>
    </row>
    <row r="184" spans="1:3">
      <c r="A184">
        <v>159</v>
      </c>
      <c r="B184">
        <v>25416.347011921192</v>
      </c>
      <c r="C184">
        <v>-1116.3470119211925</v>
      </c>
    </row>
    <row r="185" spans="1:3">
      <c r="A185">
        <v>160</v>
      </c>
      <c r="B185">
        <v>27061.768876092254</v>
      </c>
      <c r="C185">
        <v>-3761.7688760922538</v>
      </c>
    </row>
    <row r="186" spans="1:3">
      <c r="A186">
        <v>161</v>
      </c>
      <c r="B186">
        <v>26951.181251886159</v>
      </c>
      <c r="C186">
        <v>48.818748113841139</v>
      </c>
    </row>
    <row r="187" spans="1:3">
      <c r="A187">
        <v>162</v>
      </c>
      <c r="B187">
        <v>35685.314484579503</v>
      </c>
      <c r="C187">
        <v>14314.685515420497</v>
      </c>
    </row>
    <row r="188" spans="1:3">
      <c r="A188">
        <v>163</v>
      </c>
      <c r="B188">
        <v>37157.935040170458</v>
      </c>
      <c r="C188">
        <v>12842.064959829542</v>
      </c>
    </row>
    <row r="189" spans="1:3">
      <c r="A189">
        <v>164</v>
      </c>
      <c r="B189">
        <v>39177.946887253514</v>
      </c>
      <c r="C189">
        <v>10822.053112746486</v>
      </c>
    </row>
    <row r="190" spans="1:3">
      <c r="A190">
        <v>165</v>
      </c>
      <c r="B190">
        <v>20989.565037829932</v>
      </c>
      <c r="C190">
        <v>1710.4349621700676</v>
      </c>
    </row>
    <row r="191" spans="1:3">
      <c r="A191">
        <v>166</v>
      </c>
      <c r="B191">
        <v>23423.493421627812</v>
      </c>
      <c r="C191">
        <v>1576.5065783721875</v>
      </c>
    </row>
    <row r="192" spans="1:3">
      <c r="A192">
        <v>167</v>
      </c>
      <c r="B192">
        <v>36661.57527922665</v>
      </c>
      <c r="C192">
        <v>13338.42472077335</v>
      </c>
    </row>
    <row r="193" spans="1:3">
      <c r="A193">
        <v>168</v>
      </c>
      <c r="B193">
        <v>20785.565994347606</v>
      </c>
      <c r="C193">
        <v>3014.4340056523943</v>
      </c>
    </row>
    <row r="194" spans="1:3">
      <c r="A194">
        <v>169</v>
      </c>
      <c r="B194">
        <v>23705.514951038254</v>
      </c>
      <c r="C194">
        <v>94.485048961745633</v>
      </c>
    </row>
    <row r="195" spans="1:3">
      <c r="A195">
        <v>170</v>
      </c>
      <c r="B195">
        <v>23987.06352020448</v>
      </c>
      <c r="C195">
        <v>-1687.0635202044796</v>
      </c>
    </row>
    <row r="196" spans="1:3">
      <c r="A196">
        <v>171</v>
      </c>
      <c r="B196">
        <v>19304.375832959879</v>
      </c>
      <c r="C196">
        <v>-1904.3758329598786</v>
      </c>
    </row>
    <row r="197" spans="1:3">
      <c r="A197">
        <v>172</v>
      </c>
      <c r="B197">
        <v>20871.509775067469</v>
      </c>
      <c r="C197">
        <v>-1771.5097750674686</v>
      </c>
    </row>
    <row r="198" spans="1:3">
      <c r="A198">
        <v>173</v>
      </c>
      <c r="B198">
        <v>17593.641906802433</v>
      </c>
      <c r="C198">
        <v>5506.3580931975666</v>
      </c>
    </row>
    <row r="199" spans="1:3">
      <c r="A199">
        <v>174</v>
      </c>
      <c r="B199">
        <v>25522.967554061805</v>
      </c>
      <c r="C199">
        <v>-1922.9675540618045</v>
      </c>
    </row>
    <row r="200" spans="1:3">
      <c r="A200">
        <v>175</v>
      </c>
      <c r="B200">
        <v>22299.755646239872</v>
      </c>
      <c r="C200">
        <v>300.24435376012843</v>
      </c>
    </row>
    <row r="201" spans="1:3">
      <c r="A201">
        <v>176</v>
      </c>
      <c r="B201">
        <v>28568.439412071279</v>
      </c>
      <c r="C201">
        <v>831.56058792872136</v>
      </c>
    </row>
    <row r="202" spans="1:3">
      <c r="A202">
        <v>177</v>
      </c>
      <c r="B202">
        <v>22818.108094623312</v>
      </c>
      <c r="C202">
        <v>381.89190537668765</v>
      </c>
    </row>
    <row r="203" spans="1:3">
      <c r="A203">
        <v>178</v>
      </c>
      <c r="B203">
        <v>26774.879386815173</v>
      </c>
      <c r="C203">
        <v>-2174.8793868151733</v>
      </c>
    </row>
    <row r="204" spans="1:3">
      <c r="A204">
        <v>179</v>
      </c>
      <c r="B204">
        <v>29146.853087704785</v>
      </c>
      <c r="C204">
        <v>753.14691229521486</v>
      </c>
    </row>
    <row r="205" spans="1:3">
      <c r="A205">
        <v>180</v>
      </c>
      <c r="B205">
        <v>30965.861314204136</v>
      </c>
      <c r="C205">
        <v>6234.1386857958641</v>
      </c>
    </row>
    <row r="206" spans="1:3">
      <c r="A206">
        <v>181</v>
      </c>
      <c r="B206">
        <v>33346.526879613113</v>
      </c>
      <c r="C206">
        <v>6453.4731203868869</v>
      </c>
    </row>
    <row r="207" spans="1:3">
      <c r="A207">
        <v>182</v>
      </c>
      <c r="B207">
        <v>23873.81830528217</v>
      </c>
      <c r="C207">
        <v>12326.18169471783</v>
      </c>
    </row>
    <row r="208" spans="1:3">
      <c r="A208">
        <v>183</v>
      </c>
      <c r="B208">
        <v>31998.768044996737</v>
      </c>
      <c r="C208">
        <v>5901.2319550032626</v>
      </c>
    </row>
    <row r="209" spans="1:3">
      <c r="A209">
        <v>184</v>
      </c>
      <c r="B209">
        <v>28430.225390819549</v>
      </c>
      <c r="C209">
        <v>4069.7746091804511</v>
      </c>
    </row>
    <row r="210" spans="1:3">
      <c r="A210">
        <v>185</v>
      </c>
      <c r="B210">
        <v>18212.749539614535</v>
      </c>
      <c r="C210">
        <v>8187.250460385465</v>
      </c>
    </row>
    <row r="211" spans="1:3">
      <c r="A211">
        <v>186</v>
      </c>
      <c r="B211">
        <v>21542.945560437922</v>
      </c>
      <c r="C211">
        <v>8057.0544395620782</v>
      </c>
    </row>
    <row r="212" spans="1:3">
      <c r="A212">
        <v>187</v>
      </c>
      <c r="B212">
        <v>35680.517306078567</v>
      </c>
      <c r="C212">
        <v>14319.482693921433</v>
      </c>
    </row>
    <row r="213" spans="1:3">
      <c r="A213">
        <v>188</v>
      </c>
      <c r="B213">
        <v>28903.625625145123</v>
      </c>
      <c r="C213">
        <v>3096.3743748548768</v>
      </c>
    </row>
    <row r="214" spans="1:3">
      <c r="A214">
        <v>189</v>
      </c>
      <c r="B214">
        <v>29114.003209282622</v>
      </c>
      <c r="C214">
        <v>685.99679071737773</v>
      </c>
    </row>
    <row r="215" spans="1:3">
      <c r="A215">
        <v>190</v>
      </c>
      <c r="B215">
        <v>31785.467434007682</v>
      </c>
      <c r="C215">
        <v>3114.5325659923183</v>
      </c>
    </row>
    <row r="216" spans="1:3">
      <c r="A216">
        <v>191</v>
      </c>
      <c r="B216">
        <v>30779.570962603724</v>
      </c>
      <c r="C216">
        <v>6220.4290373962758</v>
      </c>
    </row>
    <row r="217" spans="1:3">
      <c r="A217">
        <v>192</v>
      </c>
      <c r="B217">
        <v>29962.842826964472</v>
      </c>
      <c r="C217">
        <v>537.1571730355281</v>
      </c>
    </row>
    <row r="218" spans="1:3">
      <c r="A218">
        <v>193</v>
      </c>
      <c r="B218">
        <v>33368.546920412526</v>
      </c>
      <c r="C218">
        <v>3031.4530795874743</v>
      </c>
    </row>
    <row r="219" spans="1:3">
      <c r="A219">
        <v>194</v>
      </c>
      <c r="B219">
        <v>30055.223060365995</v>
      </c>
      <c r="C219">
        <v>1044.7769396340045</v>
      </c>
    </row>
    <row r="220" spans="1:3">
      <c r="A220">
        <v>195</v>
      </c>
      <c r="B220">
        <v>29474.177532694717</v>
      </c>
      <c r="C220">
        <v>-374.17753269471723</v>
      </c>
    </row>
    <row r="221" spans="1:3">
      <c r="A221">
        <v>196</v>
      </c>
      <c r="B221">
        <v>36855.378312070687</v>
      </c>
      <c r="C221">
        <v>13144.621687929313</v>
      </c>
    </row>
    <row r="222" spans="1:3">
      <c r="A222">
        <v>197</v>
      </c>
      <c r="B222">
        <v>33146.625226269811</v>
      </c>
      <c r="C222">
        <v>153.37477373018919</v>
      </c>
    </row>
    <row r="223" spans="1:3">
      <c r="A223">
        <v>198</v>
      </c>
      <c r="B223">
        <v>29319.680134963332</v>
      </c>
      <c r="C223">
        <v>980.31986503666849</v>
      </c>
    </row>
    <row r="224" spans="1:3">
      <c r="A224">
        <v>199</v>
      </c>
      <c r="B224">
        <v>31448.802813493352</v>
      </c>
      <c r="C224">
        <v>3151.197186506648</v>
      </c>
    </row>
    <row r="225" spans="1:3">
      <c r="A225">
        <v>200</v>
      </c>
      <c r="B225">
        <v>31248.719374719629</v>
      </c>
      <c r="C225">
        <v>3651.2806252803712</v>
      </c>
    </row>
    <row r="226" spans="1:3">
      <c r="A226">
        <v>201</v>
      </c>
      <c r="B226">
        <v>32134.544868980331</v>
      </c>
      <c r="C226">
        <v>765.45513101966935</v>
      </c>
    </row>
    <row r="227" spans="1:3">
      <c r="A227">
        <v>202</v>
      </c>
      <c r="B227">
        <v>25263.088324173372</v>
      </c>
      <c r="C227">
        <v>-1163.0883241733718</v>
      </c>
    </row>
    <row r="228" spans="1:3">
      <c r="A228">
        <v>203</v>
      </c>
      <c r="B228">
        <v>35415.329329427332</v>
      </c>
      <c r="C228">
        <v>6884.6706705726683</v>
      </c>
    </row>
    <row r="229" spans="1:3">
      <c r="A229">
        <v>204</v>
      </c>
      <c r="B229">
        <v>36203.711975650214</v>
      </c>
      <c r="C229">
        <v>12296.288024349786</v>
      </c>
    </row>
    <row r="230" spans="1:3">
      <c r="A230">
        <v>205</v>
      </c>
      <c r="B230">
        <v>37723.261851662173</v>
      </c>
      <c r="C230">
        <v>12276.738148337827</v>
      </c>
    </row>
    <row r="231" spans="1:3">
      <c r="A231">
        <v>206</v>
      </c>
      <c r="B231">
        <v>21672.688110618365</v>
      </c>
      <c r="C231">
        <v>927.31188938163541</v>
      </c>
    </row>
    <row r="232" spans="1:3">
      <c r="A232">
        <v>207</v>
      </c>
      <c r="B232">
        <v>23824.685050380343</v>
      </c>
      <c r="C232">
        <v>575.31494961965655</v>
      </c>
    </row>
    <row r="233" spans="1:3">
      <c r="A233">
        <v>208</v>
      </c>
      <c r="B233">
        <v>16503.894585094731</v>
      </c>
      <c r="C233">
        <v>5996.1054149052688</v>
      </c>
    </row>
    <row r="234" spans="1:3">
      <c r="A234">
        <v>209</v>
      </c>
      <c r="B234">
        <v>20119.548345123338</v>
      </c>
      <c r="C234">
        <v>4280.4516548766624</v>
      </c>
    </row>
    <row r="235" spans="1:3">
      <c r="A235">
        <v>210</v>
      </c>
      <c r="B235">
        <v>11036.220238723017</v>
      </c>
      <c r="C235">
        <v>8963.7797612769828</v>
      </c>
    </row>
    <row r="236" spans="1:3">
      <c r="A236">
        <v>211</v>
      </c>
      <c r="B236">
        <v>17913.135142375155</v>
      </c>
      <c r="C236">
        <v>3786.8648576248452</v>
      </c>
    </row>
    <row r="237" spans="1:3">
      <c r="A237">
        <v>212</v>
      </c>
      <c r="B237">
        <v>10770.20860030593</v>
      </c>
      <c r="C237">
        <v>8529.7913996940697</v>
      </c>
    </row>
    <row r="238" spans="1:3">
      <c r="A238">
        <v>213</v>
      </c>
      <c r="B238">
        <v>17930.156915234387</v>
      </c>
      <c r="C238">
        <v>4469.8430847656127</v>
      </c>
    </row>
    <row r="239" spans="1:3">
      <c r="A239">
        <v>214</v>
      </c>
      <c r="B239">
        <v>25095.679413061</v>
      </c>
      <c r="C239">
        <v>3004.3205869390003</v>
      </c>
    </row>
    <row r="240" spans="1:3">
      <c r="A240">
        <v>215</v>
      </c>
      <c r="B240">
        <v>7233.0309824408214</v>
      </c>
      <c r="C240">
        <v>16466.969017559179</v>
      </c>
    </row>
    <row r="241" spans="1:3">
      <c r="A241">
        <v>216</v>
      </c>
      <c r="B241">
        <v>24054.57308200208</v>
      </c>
      <c r="C241">
        <v>945.4269179979201</v>
      </c>
    </row>
    <row r="242" spans="1:3">
      <c r="A242">
        <v>217</v>
      </c>
      <c r="B242">
        <v>19961.577744260852</v>
      </c>
      <c r="C242">
        <v>3338.4222557391477</v>
      </c>
    </row>
    <row r="243" spans="1:3">
      <c r="A243">
        <v>218</v>
      </c>
      <c r="B243">
        <v>26256.856721263186</v>
      </c>
      <c r="C243">
        <v>2443.143278736814</v>
      </c>
    </row>
    <row r="244" spans="1:3">
      <c r="A244">
        <v>219</v>
      </c>
      <c r="B244">
        <v>17449.749133257443</v>
      </c>
      <c r="C244">
        <v>4050.2508667425573</v>
      </c>
    </row>
    <row r="245" spans="1:3">
      <c r="A245">
        <v>220</v>
      </c>
      <c r="B245">
        <v>24366.048502738908</v>
      </c>
      <c r="C245">
        <v>-1366.0485027389077</v>
      </c>
    </row>
    <row r="246" spans="1:3">
      <c r="A246">
        <v>221</v>
      </c>
      <c r="B246">
        <v>27818.29904173829</v>
      </c>
      <c r="C246">
        <v>-1118.2990417382898</v>
      </c>
    </row>
    <row r="247" spans="1:3">
      <c r="A247">
        <v>222</v>
      </c>
      <c r="B247">
        <v>16260.990470696908</v>
      </c>
      <c r="C247">
        <v>5439.0095293030918</v>
      </c>
    </row>
    <row r="248" spans="1:3">
      <c r="A248">
        <v>223</v>
      </c>
      <c r="B248">
        <v>27310.15547333235</v>
      </c>
      <c r="C248">
        <v>189.84452666764992</v>
      </c>
    </row>
    <row r="249" spans="1:3">
      <c r="A249">
        <v>224</v>
      </c>
      <c r="B249">
        <v>27477.110728209336</v>
      </c>
      <c r="C249">
        <v>2622.8892717906638</v>
      </c>
    </row>
    <row r="250" spans="1:3">
      <c r="A250">
        <v>225</v>
      </c>
      <c r="B250">
        <v>38095.881162880651</v>
      </c>
      <c r="C250">
        <v>6704.1188371193493</v>
      </c>
    </row>
    <row r="251" spans="1:3">
      <c r="A251">
        <v>226</v>
      </c>
      <c r="B251">
        <v>40119.633263911499</v>
      </c>
      <c r="C251">
        <v>9880.3667360885011</v>
      </c>
    </row>
    <row r="252" spans="1:3">
      <c r="A252">
        <v>227</v>
      </c>
      <c r="B252">
        <v>37593.240996007153</v>
      </c>
      <c r="C252">
        <v>6.7590039928472834</v>
      </c>
    </row>
    <row r="253" spans="1:3">
      <c r="A253">
        <v>228</v>
      </c>
      <c r="B253">
        <v>31050.294514135472</v>
      </c>
      <c r="C253">
        <v>549.70548586452787</v>
      </c>
    </row>
    <row r="254" spans="1:3">
      <c r="A254">
        <v>229</v>
      </c>
      <c r="B254">
        <v>35282.222965499153</v>
      </c>
      <c r="C254">
        <v>11417.777034500847</v>
      </c>
    </row>
    <row r="255" spans="1:3">
      <c r="A255">
        <v>230</v>
      </c>
      <c r="B255">
        <v>29607.510724740576</v>
      </c>
      <c r="C255">
        <v>1892.4892752594242</v>
      </c>
    </row>
    <row r="256" spans="1:3">
      <c r="A256">
        <v>231</v>
      </c>
      <c r="B256">
        <v>21630.179528498229</v>
      </c>
      <c r="C256">
        <v>2669.820471501771</v>
      </c>
    </row>
    <row r="257" spans="1:3">
      <c r="A257">
        <v>232</v>
      </c>
      <c r="B257">
        <v>33031.914473246252</v>
      </c>
      <c r="C257">
        <v>-1331.9144732462519</v>
      </c>
    </row>
    <row r="258" spans="1:3">
      <c r="A258">
        <v>233</v>
      </c>
      <c r="B258">
        <v>39530.349527956234</v>
      </c>
      <c r="C258">
        <v>2169.6504720437661</v>
      </c>
    </row>
    <row r="259" spans="1:3">
      <c r="A259">
        <v>234</v>
      </c>
      <c r="B259">
        <v>38121.128274684634</v>
      </c>
      <c r="C259">
        <v>10178.871725315366</v>
      </c>
    </row>
    <row r="260" spans="1:3">
      <c r="A260">
        <v>235</v>
      </c>
      <c r="B260">
        <v>27738.286580107822</v>
      </c>
      <c r="C260">
        <v>1261.7134198921776</v>
      </c>
    </row>
    <row r="261" spans="1:3">
      <c r="A261">
        <v>236</v>
      </c>
      <c r="B261">
        <v>22659.748184221549</v>
      </c>
      <c r="C261">
        <v>1340.2518157784507</v>
      </c>
    </row>
    <row r="262" spans="1:3">
      <c r="A262">
        <v>237</v>
      </c>
      <c r="B262">
        <v>26297.167803572098</v>
      </c>
      <c r="C262">
        <v>-1197.1678035720979</v>
      </c>
    </row>
    <row r="263" spans="1:3">
      <c r="A263">
        <v>238</v>
      </c>
      <c r="B263">
        <v>33090.822255899024</v>
      </c>
      <c r="C263">
        <v>-1590.8222558990237</v>
      </c>
    </row>
    <row r="264" spans="1:3">
      <c r="A264">
        <v>239</v>
      </c>
      <c r="B264">
        <v>27575.649108817946</v>
      </c>
      <c r="C264">
        <v>-3875.6491088179464</v>
      </c>
    </row>
    <row r="265" spans="1:3">
      <c r="A265">
        <v>240</v>
      </c>
      <c r="B265">
        <v>27563.715689273449</v>
      </c>
      <c r="C265">
        <v>-4263.7156892734492</v>
      </c>
    </row>
    <row r="266" spans="1:3">
      <c r="A266">
        <v>241</v>
      </c>
      <c r="B266">
        <v>26470.442072396421</v>
      </c>
      <c r="C266">
        <v>-4470.4420723964213</v>
      </c>
    </row>
    <row r="267" spans="1:3">
      <c r="A267">
        <v>242</v>
      </c>
      <c r="B267">
        <v>21729.216608029499</v>
      </c>
      <c r="C267">
        <v>-1629.2166080294992</v>
      </c>
    </row>
    <row r="268" spans="1:3">
      <c r="A268">
        <v>243</v>
      </c>
      <c r="B268">
        <v>23827.128682318082</v>
      </c>
      <c r="C268">
        <v>-1627.1286823180817</v>
      </c>
    </row>
    <row r="269" spans="1:3">
      <c r="A269">
        <v>244</v>
      </c>
      <c r="B269">
        <v>27878.86701726196</v>
      </c>
      <c r="C269">
        <v>-4178.8670172619604</v>
      </c>
    </row>
    <row r="270" spans="1:3">
      <c r="A270">
        <v>245</v>
      </c>
      <c r="B270">
        <v>19107.397206468144</v>
      </c>
      <c r="C270">
        <v>-1507.3972064681438</v>
      </c>
    </row>
    <row r="271" spans="1:3">
      <c r="A271">
        <v>246</v>
      </c>
      <c r="B271">
        <v>15340.078990185173</v>
      </c>
      <c r="C271">
        <v>3159.9210098148269</v>
      </c>
    </row>
    <row r="272" spans="1:3">
      <c r="A272">
        <v>247</v>
      </c>
      <c r="B272">
        <v>23876.689854776851</v>
      </c>
      <c r="C272">
        <v>423.31014522314945</v>
      </c>
    </row>
    <row r="273" spans="1:3">
      <c r="A273">
        <v>248</v>
      </c>
      <c r="B273">
        <v>23841.94008602688</v>
      </c>
      <c r="C273">
        <v>-3341.9400860268797</v>
      </c>
    </row>
    <row r="274" spans="1:3">
      <c r="A274">
        <v>249</v>
      </c>
      <c r="B274">
        <v>25301.246949358345</v>
      </c>
      <c r="C274">
        <v>-801.24694935834486</v>
      </c>
    </row>
    <row r="275" spans="1:3">
      <c r="A275">
        <v>250</v>
      </c>
      <c r="B275">
        <v>28654.642194256878</v>
      </c>
      <c r="C275">
        <v>-2454.6421942568777</v>
      </c>
    </row>
    <row r="276" spans="1:3">
      <c r="A276">
        <v>251</v>
      </c>
      <c r="B276">
        <v>27901.702670476261</v>
      </c>
      <c r="C276">
        <v>-3501.7026704762611</v>
      </c>
    </row>
    <row r="277" spans="1:3">
      <c r="A277">
        <v>252</v>
      </c>
      <c r="B277">
        <v>29135.905811347708</v>
      </c>
      <c r="C277">
        <v>-4335.9058113477076</v>
      </c>
    </row>
    <row r="278" spans="1:3">
      <c r="A278">
        <v>253</v>
      </c>
      <c r="B278">
        <v>31818.642275273029</v>
      </c>
      <c r="C278">
        <v>-2218.6422752730286</v>
      </c>
    </row>
    <row r="279" spans="1:3">
      <c r="A279">
        <v>254</v>
      </c>
      <c r="B279">
        <v>38445.632647536768</v>
      </c>
      <c r="C279">
        <v>4354.3673524632322</v>
      </c>
    </row>
    <row r="280" spans="1:3">
      <c r="A280">
        <v>255</v>
      </c>
      <c r="B280">
        <v>25540.397940469145</v>
      </c>
      <c r="C280">
        <v>-3640.3979404691454</v>
      </c>
    </row>
    <row r="281" spans="1:3">
      <c r="A281">
        <v>256</v>
      </c>
      <c r="B281">
        <v>22636.886792328805</v>
      </c>
      <c r="C281">
        <v>-1736.8867923288053</v>
      </c>
    </row>
    <row r="282" spans="1:3">
      <c r="A282">
        <v>257</v>
      </c>
      <c r="B282">
        <v>34620.542403870822</v>
      </c>
      <c r="C282">
        <v>9379.4575961291775</v>
      </c>
    </row>
    <row r="283" spans="1:3">
      <c r="A283">
        <v>258</v>
      </c>
      <c r="B283">
        <v>39697.887132460812</v>
      </c>
      <c r="C283">
        <v>10302.112867539188</v>
      </c>
    </row>
    <row r="284" spans="1:3">
      <c r="A284">
        <v>259</v>
      </c>
      <c r="B284">
        <v>30997.836053503575</v>
      </c>
      <c r="C284">
        <v>5002.1639464964246</v>
      </c>
    </row>
    <row r="285" spans="1:3">
      <c r="A285">
        <v>260</v>
      </c>
      <c r="B285">
        <v>29067.994070671608</v>
      </c>
      <c r="C285">
        <v>1032.0059293283921</v>
      </c>
    </row>
    <row r="286" spans="1:3">
      <c r="A286">
        <v>261</v>
      </c>
      <c r="B286">
        <v>29179.268613900396</v>
      </c>
      <c r="C286">
        <v>4620.7313860996037</v>
      </c>
    </row>
    <row r="287" spans="1:3">
      <c r="A287">
        <v>262</v>
      </c>
      <c r="B287">
        <v>32291.011323723898</v>
      </c>
      <c r="C287">
        <v>10808.988676276102</v>
      </c>
    </row>
    <row r="288" spans="1:3">
      <c r="A288">
        <v>263</v>
      </c>
      <c r="B288">
        <v>37631.41892520096</v>
      </c>
      <c r="C288">
        <v>11168.58107479904</v>
      </c>
    </row>
    <row r="289" spans="1:3">
      <c r="A289">
        <v>264</v>
      </c>
      <c r="B289">
        <v>28744.707489112872</v>
      </c>
      <c r="C289">
        <v>2255.2925108871277</v>
      </c>
    </row>
    <row r="290" spans="1:3">
      <c r="A290">
        <v>265</v>
      </c>
      <c r="B290">
        <v>30151.666895877159</v>
      </c>
      <c r="C290">
        <v>6348.3331041228412</v>
      </c>
    </row>
    <row r="291" spans="1:3">
      <c r="A291">
        <v>266</v>
      </c>
      <c r="B291">
        <v>20256.103788185501</v>
      </c>
      <c r="C291">
        <v>2543.8962118144991</v>
      </c>
    </row>
    <row r="292" spans="1:3">
      <c r="A292">
        <v>267</v>
      </c>
      <c r="B292">
        <v>24876.090346791316</v>
      </c>
      <c r="C292">
        <v>5823.9096532086842</v>
      </c>
    </row>
    <row r="293" spans="1:3">
      <c r="A293">
        <v>268</v>
      </c>
      <c r="B293">
        <v>36134.037087389457</v>
      </c>
      <c r="C293">
        <v>13865.962912610543</v>
      </c>
    </row>
    <row r="294" spans="1:3">
      <c r="A294">
        <v>269</v>
      </c>
      <c r="B294">
        <v>34669.941094907997</v>
      </c>
      <c r="C294">
        <v>8830.0589050920025</v>
      </c>
    </row>
    <row r="295" spans="1:3">
      <c r="A295">
        <v>270</v>
      </c>
      <c r="B295">
        <v>20034.680792965442</v>
      </c>
      <c r="C295">
        <v>665.31920703455762</v>
      </c>
    </row>
    <row r="296" spans="1:3">
      <c r="A296">
        <v>271</v>
      </c>
      <c r="B296">
        <v>20126.147279226592</v>
      </c>
      <c r="C296">
        <v>973.85272077340778</v>
      </c>
    </row>
    <row r="297" spans="1:3">
      <c r="A297">
        <v>272</v>
      </c>
      <c r="B297">
        <v>26200.062787716692</v>
      </c>
      <c r="C297">
        <v>-1000.0627877166917</v>
      </c>
    </row>
    <row r="298" spans="1:3">
      <c r="A298">
        <v>273</v>
      </c>
      <c r="B298">
        <v>26986.021106010674</v>
      </c>
      <c r="C298">
        <v>-2586.021106010674</v>
      </c>
    </row>
    <row r="299" spans="1:3">
      <c r="A299">
        <v>274</v>
      </c>
      <c r="B299">
        <v>33599.023736331459</v>
      </c>
      <c r="C299">
        <v>1600.9762636685409</v>
      </c>
    </row>
    <row r="300" spans="1:3">
      <c r="A300">
        <v>275</v>
      </c>
      <c r="B300">
        <v>30804.779466390057</v>
      </c>
      <c r="C300">
        <v>1595.2205336099432</v>
      </c>
    </row>
    <row r="301" spans="1:3">
      <c r="A301">
        <v>276</v>
      </c>
      <c r="B301">
        <v>31647.17619672064</v>
      </c>
      <c r="C301">
        <v>352.82380327935971</v>
      </c>
    </row>
    <row r="302" spans="1:3">
      <c r="A302">
        <v>277</v>
      </c>
      <c r="B302">
        <v>31779.283548122155</v>
      </c>
      <c r="C302">
        <v>1420.7164518778445</v>
      </c>
    </row>
    <row r="303" spans="1:3">
      <c r="A303">
        <v>278</v>
      </c>
      <c r="B303">
        <v>30746.539298751137</v>
      </c>
      <c r="C303">
        <v>2353.4607012488632</v>
      </c>
    </row>
    <row r="304" spans="1:3">
      <c r="A304">
        <v>279</v>
      </c>
      <c r="B304">
        <v>27047.586479379657</v>
      </c>
      <c r="C304">
        <v>2052.4135206203428</v>
      </c>
    </row>
    <row r="305" spans="1:3">
      <c r="A305">
        <v>280</v>
      </c>
      <c r="B305">
        <v>30231.985016341976</v>
      </c>
      <c r="C305">
        <v>4868.014983658024</v>
      </c>
    </row>
    <row r="306" spans="1:3">
      <c r="A306">
        <v>281</v>
      </c>
      <c r="B306">
        <v>36067.701888879317</v>
      </c>
      <c r="C306">
        <v>9332.2981111206827</v>
      </c>
    </row>
    <row r="307" spans="1:3">
      <c r="A307">
        <v>282</v>
      </c>
      <c r="B307">
        <v>31193.785108801952</v>
      </c>
      <c r="C307">
        <v>4206.2148911980476</v>
      </c>
    </row>
    <row r="308" spans="1:3">
      <c r="A308">
        <v>283</v>
      </c>
      <c r="B308">
        <v>35657.882742303518</v>
      </c>
      <c r="C308">
        <v>10342.117257696482</v>
      </c>
    </row>
    <row r="309" spans="1:3">
      <c r="A309">
        <v>284</v>
      </c>
      <c r="B309">
        <v>36977.880051812455</v>
      </c>
      <c r="C309">
        <v>13022.119948187545</v>
      </c>
    </row>
    <row r="310" spans="1:3">
      <c r="A310">
        <v>285</v>
      </c>
      <c r="B310">
        <v>29711.071497286473</v>
      </c>
      <c r="C310">
        <v>2488.9285027135302</v>
      </c>
    </row>
    <row r="311" spans="1:3">
      <c r="A311">
        <v>286</v>
      </c>
      <c r="B311">
        <v>26231.784960220004</v>
      </c>
      <c r="C311">
        <v>-4231.784960220004</v>
      </c>
    </row>
    <row r="312" spans="1:3">
      <c r="A312">
        <v>287</v>
      </c>
      <c r="B312">
        <v>22076.56306876555</v>
      </c>
      <c r="C312">
        <v>-1976.5630687655503</v>
      </c>
    </row>
    <row r="313" spans="1:3">
      <c r="A313">
        <v>288</v>
      </c>
      <c r="B313">
        <v>25688.827276367985</v>
      </c>
      <c r="C313">
        <v>-2488.8272763679852</v>
      </c>
    </row>
    <row r="314" spans="1:3">
      <c r="A314">
        <v>289</v>
      </c>
      <c r="B314">
        <v>25933.389968955365</v>
      </c>
      <c r="C314">
        <v>-3633.3899689553655</v>
      </c>
    </row>
    <row r="315" spans="1:3">
      <c r="A315">
        <v>290</v>
      </c>
      <c r="B315">
        <v>25980.182546633216</v>
      </c>
      <c r="C315">
        <v>-1180.1825466332157</v>
      </c>
    </row>
    <row r="316" spans="1:3">
      <c r="A316">
        <v>291</v>
      </c>
      <c r="B316">
        <v>31458.014295625544</v>
      </c>
      <c r="C316">
        <v>-2958.014295625544</v>
      </c>
    </row>
    <row r="317" spans="1:3">
      <c r="A317">
        <v>292</v>
      </c>
      <c r="B317">
        <v>32772.47603025398</v>
      </c>
      <c r="C317">
        <v>4527.5239697460202</v>
      </c>
    </row>
    <row r="318" spans="1:3">
      <c r="A318">
        <v>293</v>
      </c>
      <c r="B318">
        <v>29401.087353329345</v>
      </c>
      <c r="C318">
        <v>-1501.0873533293452</v>
      </c>
    </row>
    <row r="319" spans="1:3">
      <c r="A319">
        <v>294</v>
      </c>
      <c r="B319">
        <v>24346.058660340841</v>
      </c>
      <c r="C319">
        <v>-446.05866034084102</v>
      </c>
    </row>
    <row r="320" spans="1:3">
      <c r="A320">
        <v>295</v>
      </c>
      <c r="B320">
        <v>22575.781509864817</v>
      </c>
      <c r="C320">
        <v>-875.78150986481705</v>
      </c>
    </row>
    <row r="321" spans="1:3">
      <c r="A321">
        <v>296</v>
      </c>
      <c r="B321">
        <v>28637.134591814218</v>
      </c>
      <c r="C321">
        <v>-37.134591814217856</v>
      </c>
    </row>
    <row r="322" spans="1:3">
      <c r="A322">
        <v>297</v>
      </c>
      <c r="B322">
        <v>27260.465607481383</v>
      </c>
      <c r="C322">
        <v>-160.4656074813829</v>
      </c>
    </row>
    <row r="323" spans="1:3">
      <c r="A323">
        <v>298</v>
      </c>
      <c r="B323">
        <v>17965.593603007048</v>
      </c>
      <c r="C323">
        <v>2334.4063969929521</v>
      </c>
    </row>
    <row r="324" spans="1:3">
      <c r="A324">
        <v>299</v>
      </c>
      <c r="B324">
        <v>27775.636027547516</v>
      </c>
      <c r="C324">
        <v>-5275.6360275475163</v>
      </c>
    </row>
    <row r="325" spans="1:3">
      <c r="A325">
        <v>300</v>
      </c>
      <c r="B325">
        <v>31469.350881521907</v>
      </c>
      <c r="C325">
        <v>-2469.3508815219066</v>
      </c>
    </row>
    <row r="326" spans="1:3">
      <c r="A326">
        <v>301</v>
      </c>
      <c r="B326">
        <v>29748.90033964</v>
      </c>
      <c r="C326">
        <v>-4948.9003396400003</v>
      </c>
    </row>
    <row r="327" spans="1:3">
      <c r="A327">
        <v>302</v>
      </c>
      <c r="B327">
        <v>26113.975829584066</v>
      </c>
      <c r="C327">
        <v>-4113.9758295840657</v>
      </c>
    </row>
    <row r="328" spans="1:3">
      <c r="A328">
        <v>303</v>
      </c>
      <c r="B328">
        <v>26163.128388494722</v>
      </c>
      <c r="C328">
        <v>236.87161150527754</v>
      </c>
    </row>
    <row r="329" spans="1:3">
      <c r="A329">
        <v>304</v>
      </c>
      <c r="B329">
        <v>31091.67539033675</v>
      </c>
      <c r="C329">
        <v>2008.3246096632502</v>
      </c>
    </row>
    <row r="330" spans="1:3">
      <c r="A330">
        <v>305</v>
      </c>
      <c r="B330">
        <v>31056.069786472879</v>
      </c>
      <c r="C330">
        <v>5043.9302135271209</v>
      </c>
    </row>
    <row r="331" spans="1:3">
      <c r="A331">
        <v>306</v>
      </c>
      <c r="B331">
        <v>26612.584567695969</v>
      </c>
      <c r="C331">
        <v>1787.4154323040311</v>
      </c>
    </row>
    <row r="332" spans="1:3">
      <c r="A332">
        <v>307</v>
      </c>
      <c r="B332">
        <v>32288.99560934311</v>
      </c>
      <c r="C332">
        <v>1111.0043906568899</v>
      </c>
    </row>
    <row r="333" spans="1:3">
      <c r="A333">
        <v>308</v>
      </c>
      <c r="B333">
        <v>28698.971835988166</v>
      </c>
      <c r="C333">
        <v>-498.97183598816628</v>
      </c>
    </row>
    <row r="334" spans="1:3">
      <c r="A334">
        <v>309</v>
      </c>
      <c r="B334">
        <v>29529.338626730092</v>
      </c>
      <c r="C334">
        <v>-6729.3386267300921</v>
      </c>
    </row>
    <row r="335" spans="1:3">
      <c r="A335">
        <v>310</v>
      </c>
      <c r="B335">
        <v>22663.488438169341</v>
      </c>
      <c r="C335">
        <v>-2363.488438169341</v>
      </c>
    </row>
    <row r="336" spans="1:3">
      <c r="A336">
        <v>311</v>
      </c>
      <c r="B336">
        <v>15858.698489385304</v>
      </c>
      <c r="C336">
        <v>241.30151061469769</v>
      </c>
    </row>
    <row r="337" spans="1:3">
      <c r="A337">
        <v>312</v>
      </c>
      <c r="B337">
        <v>25990.716389453897</v>
      </c>
      <c r="C337">
        <v>-3890.7163894538971</v>
      </c>
    </row>
    <row r="338" spans="1:3">
      <c r="A338">
        <v>313</v>
      </c>
      <c r="B338">
        <v>21799.195540443277</v>
      </c>
      <c r="C338">
        <v>-2399.1955404432774</v>
      </c>
    </row>
    <row r="339" spans="1:3">
      <c r="A339">
        <v>314</v>
      </c>
      <c r="B339">
        <v>25491.037857449628</v>
      </c>
      <c r="C339">
        <v>-3891.0378574496281</v>
      </c>
    </row>
    <row r="340" spans="1:3">
      <c r="A340">
        <v>315</v>
      </c>
      <c r="B340">
        <v>26138.114539478032</v>
      </c>
      <c r="C340">
        <v>-2338.1145394780324</v>
      </c>
    </row>
    <row r="341" spans="1:3">
      <c r="A341">
        <v>316</v>
      </c>
      <c r="B341">
        <v>20320.371794957962</v>
      </c>
      <c r="C341">
        <v>-4120.3717949579623</v>
      </c>
    </row>
    <row r="342" spans="1:3">
      <c r="A342">
        <v>317</v>
      </c>
      <c r="B342">
        <v>16997.875060796898</v>
      </c>
      <c r="C342">
        <v>802.12493920310226</v>
      </c>
    </row>
    <row r="343" spans="1:3">
      <c r="A343">
        <v>318</v>
      </c>
      <c r="B343">
        <v>17860.599465707943</v>
      </c>
      <c r="C343">
        <v>1939.4005342920573</v>
      </c>
    </row>
    <row r="344" spans="1:3">
      <c r="A344">
        <v>319</v>
      </c>
      <c r="B344">
        <v>24501.83176139211</v>
      </c>
      <c r="C344">
        <v>-1401.8317613921099</v>
      </c>
    </row>
    <row r="345" spans="1:3">
      <c r="A345">
        <v>320</v>
      </c>
      <c r="B345">
        <v>21608.944541446996</v>
      </c>
      <c r="C345">
        <v>-608.94454144699557</v>
      </c>
    </row>
    <row r="346" spans="1:3">
      <c r="A346">
        <v>321</v>
      </c>
      <c r="B346">
        <v>26755.854768914371</v>
      </c>
      <c r="C346">
        <v>-2955.8547689143707</v>
      </c>
    </row>
    <row r="347" spans="1:3">
      <c r="A347">
        <v>322</v>
      </c>
      <c r="B347">
        <v>26713.093619998108</v>
      </c>
      <c r="C347">
        <v>-3613.0936199981079</v>
      </c>
    </row>
    <row r="348" spans="1:3">
      <c r="A348">
        <v>323</v>
      </c>
      <c r="B348">
        <v>24473.182227822734</v>
      </c>
      <c r="C348">
        <v>-4073.1822278227337</v>
      </c>
    </row>
    <row r="349" spans="1:3">
      <c r="A349">
        <v>324</v>
      </c>
      <c r="B349">
        <v>20181.490158692381</v>
      </c>
      <c r="C349">
        <v>-1681.4901586923806</v>
      </c>
    </row>
    <row r="350" spans="1:3">
      <c r="A350">
        <v>325</v>
      </c>
      <c r="B350">
        <v>27393.559102070325</v>
      </c>
      <c r="C350">
        <v>-2393.559102070325</v>
      </c>
    </row>
    <row r="351" spans="1:3">
      <c r="A351">
        <v>326</v>
      </c>
      <c r="B351">
        <v>28143.128377433604</v>
      </c>
      <c r="C351">
        <v>-3543.1283774336043</v>
      </c>
    </row>
    <row r="352" spans="1:3">
      <c r="A352">
        <v>327</v>
      </c>
      <c r="B352">
        <v>26849.525189656339</v>
      </c>
      <c r="C352">
        <v>-3849.5251896563386</v>
      </c>
    </row>
    <row r="353" spans="1:3">
      <c r="A353">
        <v>328</v>
      </c>
      <c r="B353">
        <v>21417.559401862251</v>
      </c>
      <c r="C353">
        <v>782.44059813774948</v>
      </c>
    </row>
    <row r="354" spans="1:3">
      <c r="A354">
        <v>329</v>
      </c>
      <c r="B354">
        <v>22133.630487798342</v>
      </c>
      <c r="C354">
        <v>-2833.6304877983421</v>
      </c>
    </row>
    <row r="355" spans="1:3">
      <c r="A355">
        <v>330</v>
      </c>
      <c r="B355">
        <v>26192.109319576892</v>
      </c>
      <c r="C355">
        <v>-3592.1093195768917</v>
      </c>
    </row>
    <row r="356" spans="1:3">
      <c r="A356">
        <v>331</v>
      </c>
      <c r="B356">
        <v>24105.067305610057</v>
      </c>
      <c r="C356">
        <v>-4305.0673056100568</v>
      </c>
    </row>
    <row r="357" spans="1:3">
      <c r="A357">
        <v>332</v>
      </c>
      <c r="B357">
        <v>19728.073332095264</v>
      </c>
      <c r="C357">
        <v>-2628.073332095264</v>
      </c>
    </row>
    <row r="358" spans="1:3">
      <c r="A358">
        <v>333</v>
      </c>
      <c r="B358">
        <v>24338.727764527634</v>
      </c>
      <c r="C358">
        <v>-4938.7277645276336</v>
      </c>
    </row>
    <row r="359" spans="1:3">
      <c r="A359">
        <v>334</v>
      </c>
      <c r="B359">
        <v>27171.812758688426</v>
      </c>
      <c r="C359">
        <v>-4971.8127586884257</v>
      </c>
    </row>
    <row r="360" spans="1:3">
      <c r="A360">
        <v>335</v>
      </c>
      <c r="B360">
        <v>26453.920613141185</v>
      </c>
      <c r="C360">
        <v>-5753.9206131411847</v>
      </c>
    </row>
    <row r="361" spans="1:3">
      <c r="A361">
        <v>336</v>
      </c>
      <c r="B361">
        <v>24253.671992269708</v>
      </c>
      <c r="C361">
        <v>-3153.6719922697084</v>
      </c>
    </row>
    <row r="362" spans="1:3">
      <c r="A362">
        <v>337</v>
      </c>
      <c r="B362">
        <v>22247.926192604176</v>
      </c>
      <c r="C362">
        <v>-2747.9261926041763</v>
      </c>
    </row>
    <row r="363" spans="1:3">
      <c r="A363">
        <v>338</v>
      </c>
      <c r="B363">
        <v>21892.198346171386</v>
      </c>
      <c r="C363">
        <v>-3392.1983461713862</v>
      </c>
    </row>
    <row r="364" spans="1:3">
      <c r="A364">
        <v>339</v>
      </c>
      <c r="B364">
        <v>24044.578160803052</v>
      </c>
      <c r="C364">
        <v>-3444.578160803052</v>
      </c>
    </row>
    <row r="365" spans="1:3">
      <c r="A365">
        <v>340</v>
      </c>
      <c r="B365">
        <v>22877.463098841865</v>
      </c>
      <c r="C365">
        <v>-3877.4630988418648</v>
      </c>
    </row>
    <row r="366" spans="1:3">
      <c r="A366">
        <v>341</v>
      </c>
      <c r="B366">
        <v>23079.912953518</v>
      </c>
      <c r="C366">
        <v>-4379.912953518</v>
      </c>
    </row>
    <row r="367" spans="1:3">
      <c r="A367">
        <v>342</v>
      </c>
      <c r="B367">
        <v>32006.539727706109</v>
      </c>
      <c r="C367">
        <v>693.46027229389438</v>
      </c>
    </row>
    <row r="368" spans="1:3">
      <c r="A368">
        <v>343</v>
      </c>
      <c r="B368">
        <v>26405.241014474748</v>
      </c>
      <c r="C368">
        <v>-9905.2410144747482</v>
      </c>
    </row>
    <row r="369" spans="1:3">
      <c r="A369">
        <v>344</v>
      </c>
      <c r="B369">
        <v>28144.29469137012</v>
      </c>
      <c r="C369">
        <v>-4244.2946913701198</v>
      </c>
    </row>
    <row r="370" spans="1:3">
      <c r="A370">
        <v>345</v>
      </c>
      <c r="B370">
        <v>30702.027871589431</v>
      </c>
      <c r="C370">
        <v>497.97212841056898</v>
      </c>
    </row>
    <row r="371" spans="1:3">
      <c r="A371">
        <v>346</v>
      </c>
      <c r="B371">
        <v>22517.748866334765</v>
      </c>
      <c r="C371">
        <v>-5017.7488663347649</v>
      </c>
    </row>
    <row r="372" spans="1:3">
      <c r="A372">
        <v>347</v>
      </c>
      <c r="B372">
        <v>20552.106624869284</v>
      </c>
      <c r="C372">
        <v>-3352.1066248692841</v>
      </c>
    </row>
    <row r="373" spans="1:3">
      <c r="A373">
        <v>348</v>
      </c>
      <c r="B373">
        <v>27753.96668826972</v>
      </c>
      <c r="C373">
        <v>-4653.9666882697202</v>
      </c>
    </row>
    <row r="374" spans="1:3">
      <c r="A374">
        <v>349</v>
      </c>
      <c r="B374">
        <v>28597.919042076104</v>
      </c>
      <c r="C374">
        <v>-4097.9190420761042</v>
      </c>
    </row>
    <row r="375" spans="1:3">
      <c r="A375">
        <v>350</v>
      </c>
      <c r="B375">
        <v>30210.970422738825</v>
      </c>
      <c r="C375">
        <v>-3610.9704227388247</v>
      </c>
    </row>
    <row r="376" spans="1:3">
      <c r="A376">
        <v>351</v>
      </c>
      <c r="B376">
        <v>27865.598367689745</v>
      </c>
      <c r="C376">
        <v>-4965.5983676897449</v>
      </c>
    </row>
    <row r="377" spans="1:3">
      <c r="A377">
        <v>352</v>
      </c>
      <c r="B377">
        <v>28633.790082075317</v>
      </c>
      <c r="C377">
        <v>-4533.7900820753166</v>
      </c>
    </row>
    <row r="378" spans="1:3">
      <c r="A378">
        <v>353</v>
      </c>
      <c r="B378">
        <v>23615.488264199928</v>
      </c>
      <c r="C378">
        <v>-5015.4882641999284</v>
      </c>
    </row>
    <row r="379" spans="1:3">
      <c r="A379">
        <v>354</v>
      </c>
      <c r="B379">
        <v>30028.848242643158</v>
      </c>
      <c r="C379">
        <v>71.151757356841699</v>
      </c>
    </row>
    <row r="380" spans="1:3">
      <c r="A380">
        <v>355</v>
      </c>
      <c r="B380">
        <v>22322.526952758075</v>
      </c>
      <c r="C380">
        <v>-4122.5269527580749</v>
      </c>
    </row>
    <row r="381" spans="1:3">
      <c r="A381">
        <v>356</v>
      </c>
      <c r="B381">
        <v>25306.452741407389</v>
      </c>
      <c r="C381">
        <v>-4706.4527414073891</v>
      </c>
    </row>
    <row r="382" spans="1:3">
      <c r="A382">
        <v>357</v>
      </c>
      <c r="B382">
        <v>18985.043464127404</v>
      </c>
      <c r="C382">
        <v>-1185.0434641274041</v>
      </c>
    </row>
    <row r="383" spans="1:3">
      <c r="A383">
        <v>358</v>
      </c>
      <c r="B383">
        <v>22698.801252538069</v>
      </c>
      <c r="C383">
        <v>-998.80125253806909</v>
      </c>
    </row>
    <row r="384" spans="1:3">
      <c r="A384">
        <v>359</v>
      </c>
      <c r="B384">
        <v>22483.219491032865</v>
      </c>
      <c r="C384">
        <v>216.78050896713466</v>
      </c>
    </row>
    <row r="385" spans="1:3">
      <c r="A385">
        <v>360</v>
      </c>
      <c r="B385">
        <v>21642.391253517308</v>
      </c>
      <c r="C385">
        <v>957.60874648269237</v>
      </c>
    </row>
    <row r="386" spans="1:3">
      <c r="A386">
        <v>361</v>
      </c>
      <c r="B386">
        <v>26234.209288148908</v>
      </c>
      <c r="C386">
        <v>-1234.2092881489079</v>
      </c>
    </row>
    <row r="387" spans="1:3">
      <c r="A387">
        <v>362</v>
      </c>
      <c r="B387">
        <v>21374.182115289012</v>
      </c>
      <c r="C387">
        <v>-1474.1821152890116</v>
      </c>
    </row>
    <row r="388" spans="1:3">
      <c r="A388">
        <v>363</v>
      </c>
      <c r="B388">
        <v>19414.348934190341</v>
      </c>
      <c r="C388">
        <v>1385.6510658096595</v>
      </c>
    </row>
    <row r="389" spans="1:3">
      <c r="A389">
        <v>364</v>
      </c>
      <c r="B389">
        <v>18802.655847896382</v>
      </c>
      <c r="C389">
        <v>-2002.6558478963816</v>
      </c>
    </row>
    <row r="390" spans="1:3">
      <c r="A390">
        <v>365</v>
      </c>
      <c r="B390">
        <v>39975.89010244888</v>
      </c>
      <c r="C390">
        <v>-18075.89010244888</v>
      </c>
    </row>
    <row r="391" spans="1:3">
      <c r="A391">
        <v>366</v>
      </c>
      <c r="B391">
        <v>12210.675860529698</v>
      </c>
      <c r="C391">
        <v>15289.324139470302</v>
      </c>
    </row>
    <row r="392" spans="1:3">
      <c r="A392">
        <v>367</v>
      </c>
      <c r="B392">
        <v>14934.143274969925</v>
      </c>
      <c r="C392">
        <v>6965.8567250300748</v>
      </c>
    </row>
    <row r="393" spans="1:3">
      <c r="A393">
        <v>368</v>
      </c>
      <c r="B393">
        <v>9760.2565761432943</v>
      </c>
      <c r="C393">
        <v>13339.743423856706</v>
      </c>
    </row>
    <row r="394" spans="1:3">
      <c r="A394">
        <v>369</v>
      </c>
      <c r="B394">
        <v>21868.735300642227</v>
      </c>
      <c r="C394">
        <v>28131.264699357773</v>
      </c>
    </row>
    <row r="395" spans="1:3">
      <c r="A395">
        <v>370</v>
      </c>
      <c r="B395">
        <v>30294.198700715984</v>
      </c>
      <c r="C395">
        <v>19705.801299284016</v>
      </c>
    </row>
    <row r="396" spans="1:3">
      <c r="A396">
        <v>371</v>
      </c>
      <c r="B396">
        <v>32485.379016868039</v>
      </c>
      <c r="C396">
        <v>17514.620983131961</v>
      </c>
    </row>
    <row r="397" spans="1:3">
      <c r="A397">
        <v>372</v>
      </c>
      <c r="B397">
        <v>24189.254373414875</v>
      </c>
      <c r="C397">
        <v>25810.745626585125</v>
      </c>
    </row>
    <row r="398" spans="1:3">
      <c r="A398">
        <v>373</v>
      </c>
      <c r="B398">
        <v>22869.464588014795</v>
      </c>
      <c r="C398">
        <v>27130.535411985205</v>
      </c>
    </row>
    <row r="399" spans="1:3">
      <c r="A399">
        <v>374</v>
      </c>
      <c r="B399">
        <v>1301.9577576121774</v>
      </c>
      <c r="C399">
        <v>12498.042242387823</v>
      </c>
    </row>
    <row r="400" spans="1:3">
      <c r="A400">
        <v>375</v>
      </c>
      <c r="B400">
        <v>-4666.386083939502</v>
      </c>
      <c r="C400">
        <v>18466.386083939502</v>
      </c>
    </row>
    <row r="401" spans="1:3">
      <c r="A401">
        <v>376</v>
      </c>
      <c r="B401">
        <v>27266.615705337514</v>
      </c>
      <c r="C401">
        <v>-12266.615705337514</v>
      </c>
    </row>
    <row r="402" spans="1:3">
      <c r="A402">
        <v>377</v>
      </c>
      <c r="B402">
        <v>17588.564808145587</v>
      </c>
      <c r="C402">
        <v>-3688.5648081455874</v>
      </c>
    </row>
    <row r="403" spans="1:3">
      <c r="A403">
        <v>378</v>
      </c>
      <c r="B403">
        <v>19612.025734362644</v>
      </c>
      <c r="C403">
        <v>-6312.0257343626436</v>
      </c>
    </row>
    <row r="404" spans="1:3">
      <c r="A404">
        <v>379</v>
      </c>
      <c r="B404">
        <v>15929.005589949193</v>
      </c>
      <c r="C404">
        <v>-2829.0055899491927</v>
      </c>
    </row>
    <row r="405" spans="1:3">
      <c r="A405">
        <v>380</v>
      </c>
      <c r="B405">
        <v>16356.028294814645</v>
      </c>
      <c r="C405">
        <v>-6156.0282948146451</v>
      </c>
    </row>
    <row r="406" spans="1:3">
      <c r="A406">
        <v>381</v>
      </c>
      <c r="B406">
        <v>23087.222930641041</v>
      </c>
      <c r="C406">
        <v>-12687.222930641041</v>
      </c>
    </row>
    <row r="407" spans="1:3">
      <c r="A407">
        <v>382</v>
      </c>
      <c r="B407">
        <v>18446.200859741908</v>
      </c>
      <c r="C407">
        <v>-7546.2008597419081</v>
      </c>
    </row>
    <row r="408" spans="1:3">
      <c r="A408">
        <v>383</v>
      </c>
      <c r="B408">
        <v>11686.816781251124</v>
      </c>
      <c r="C408">
        <v>-386.81678125112376</v>
      </c>
    </row>
    <row r="409" spans="1:3">
      <c r="A409">
        <v>384</v>
      </c>
      <c r="B409">
        <v>10988.636172627375</v>
      </c>
      <c r="C409">
        <v>1311.3638273726247</v>
      </c>
    </row>
    <row r="410" spans="1:3">
      <c r="A410">
        <v>385</v>
      </c>
      <c r="B410">
        <v>1220.3253258098157</v>
      </c>
      <c r="C410">
        <v>7579.6746741901843</v>
      </c>
    </row>
    <row r="411" spans="1:3">
      <c r="A411">
        <v>386</v>
      </c>
      <c r="B411">
        <v>5735.863103407788</v>
      </c>
      <c r="C411">
        <v>1464.136896592212</v>
      </c>
    </row>
    <row r="412" spans="1:3">
      <c r="A412">
        <v>387</v>
      </c>
      <c r="B412">
        <v>4176.7871988350926</v>
      </c>
      <c r="C412">
        <v>6323.2128011649074</v>
      </c>
    </row>
    <row r="413" spans="1:3">
      <c r="A413">
        <v>388</v>
      </c>
      <c r="B413">
        <v>3566.6239973384945</v>
      </c>
      <c r="C413">
        <v>3833.3760026615055</v>
      </c>
    </row>
    <row r="414" spans="1:3">
      <c r="A414">
        <v>389</v>
      </c>
      <c r="B414">
        <v>3835.2803571325603</v>
      </c>
      <c r="C414">
        <v>6364.7196428674397</v>
      </c>
    </row>
    <row r="415" spans="1:3">
      <c r="A415">
        <v>390</v>
      </c>
      <c r="B415">
        <v>12709.463154709343</v>
      </c>
      <c r="C415">
        <v>-1209.4631547093431</v>
      </c>
    </row>
    <row r="416" spans="1:3">
      <c r="A416">
        <v>391</v>
      </c>
      <c r="B416">
        <v>16757.49984372309</v>
      </c>
      <c r="C416">
        <v>-1657.4998437230897</v>
      </c>
    </row>
    <row r="417" spans="1:3">
      <c r="A417">
        <v>392</v>
      </c>
      <c r="B417">
        <v>17419.646930926032</v>
      </c>
      <c r="C417">
        <v>5780.3530690739681</v>
      </c>
    </row>
    <row r="418" spans="1:3">
      <c r="A418">
        <v>393</v>
      </c>
      <c r="B418">
        <v>7803.3174538550629</v>
      </c>
      <c r="C418">
        <v>1896.6825461449371</v>
      </c>
    </row>
    <row r="419" spans="1:3">
      <c r="A419">
        <v>394</v>
      </c>
      <c r="B419">
        <v>20449.173244638241</v>
      </c>
      <c r="C419">
        <v>-6649.1732446382412</v>
      </c>
    </row>
    <row r="420" spans="1:3">
      <c r="A420">
        <v>395</v>
      </c>
      <c r="B420">
        <v>18132.185287023185</v>
      </c>
      <c r="C420">
        <v>-5432.1852870231851</v>
      </c>
    </row>
    <row r="421" spans="1:3">
      <c r="A421">
        <v>396</v>
      </c>
      <c r="B421">
        <v>20612.925552507746</v>
      </c>
      <c r="C421">
        <v>-7512.925552507746</v>
      </c>
    </row>
    <row r="422" spans="1:3">
      <c r="A422">
        <v>397</v>
      </c>
      <c r="B422">
        <v>18831.36329349225</v>
      </c>
      <c r="C422">
        <v>-6331.3632934922498</v>
      </c>
    </row>
    <row r="423" spans="1:3">
      <c r="A423">
        <v>398</v>
      </c>
      <c r="B423">
        <v>15125.69571596453</v>
      </c>
      <c r="C423">
        <v>-6625.6957159645299</v>
      </c>
    </row>
    <row r="424" spans="1:3">
      <c r="A424">
        <v>399</v>
      </c>
      <c r="B424">
        <v>6773.8646221847303</v>
      </c>
      <c r="C424">
        <v>-1773.8646221847303</v>
      </c>
    </row>
    <row r="425" spans="1:3">
      <c r="A425">
        <v>400</v>
      </c>
      <c r="B425">
        <v>9204.9471951663727</v>
      </c>
      <c r="C425">
        <v>-2904.9471951663727</v>
      </c>
    </row>
    <row r="426" spans="1:3">
      <c r="A426">
        <v>401</v>
      </c>
      <c r="B426">
        <v>11948.290242633018</v>
      </c>
      <c r="C426">
        <v>-6348.2902426330184</v>
      </c>
    </row>
    <row r="427" spans="1:3">
      <c r="A427">
        <v>402</v>
      </c>
      <c r="B427">
        <v>17905.246020931459</v>
      </c>
      <c r="C427">
        <v>-10705.246020931459</v>
      </c>
    </row>
    <row r="428" spans="1:3">
      <c r="A428">
        <v>403</v>
      </c>
      <c r="B428">
        <v>18222.451671318428</v>
      </c>
      <c r="C428">
        <v>-6122.4516713184275</v>
      </c>
    </row>
    <row r="429" spans="1:3">
      <c r="A429">
        <v>404</v>
      </c>
      <c r="B429">
        <v>13194.323848335207</v>
      </c>
      <c r="C429">
        <v>-4894.323848335207</v>
      </c>
    </row>
    <row r="430" spans="1:3">
      <c r="A430">
        <v>405</v>
      </c>
      <c r="B430">
        <v>9233.2283378866341</v>
      </c>
      <c r="C430">
        <v>-733.22833788663411</v>
      </c>
    </row>
    <row r="431" spans="1:3">
      <c r="A431">
        <v>406</v>
      </c>
      <c r="B431">
        <v>12834.012782179956</v>
      </c>
      <c r="C431">
        <v>-7834.012782179956</v>
      </c>
    </row>
    <row r="432" spans="1:3">
      <c r="A432">
        <v>407</v>
      </c>
      <c r="B432">
        <v>4731.31634605211</v>
      </c>
      <c r="C432">
        <v>7168.68365394789</v>
      </c>
    </row>
    <row r="433" spans="1:3">
      <c r="A433">
        <v>408</v>
      </c>
      <c r="B433">
        <v>19421.491609903514</v>
      </c>
      <c r="C433">
        <v>8478.5083900964855</v>
      </c>
    </row>
    <row r="434" spans="1:3">
      <c r="A434">
        <v>409</v>
      </c>
      <c r="B434">
        <v>10300.891272098826</v>
      </c>
      <c r="C434">
        <v>6899.1087279011736</v>
      </c>
    </row>
    <row r="435" spans="1:3">
      <c r="A435">
        <v>410</v>
      </c>
      <c r="B435">
        <v>20845.366605450596</v>
      </c>
      <c r="C435">
        <v>6654.6333945494043</v>
      </c>
    </row>
    <row r="436" spans="1:3">
      <c r="A436">
        <v>411</v>
      </c>
      <c r="B436">
        <v>21478.1788547428</v>
      </c>
      <c r="C436">
        <v>-6478.1788547428005</v>
      </c>
    </row>
    <row r="437" spans="1:3">
      <c r="A437">
        <v>412</v>
      </c>
      <c r="B437">
        <v>18926.886947193416</v>
      </c>
      <c r="C437">
        <v>-1726.8869471934158</v>
      </c>
    </row>
    <row r="438" spans="1:3">
      <c r="A438">
        <v>413</v>
      </c>
      <c r="B438">
        <v>142.55003166427559</v>
      </c>
      <c r="C438">
        <v>17757.449968335724</v>
      </c>
    </row>
    <row r="439" spans="1:3">
      <c r="A439">
        <v>414</v>
      </c>
      <c r="B439">
        <v>12006.803895758238</v>
      </c>
      <c r="C439">
        <v>4293.1961042417624</v>
      </c>
    </row>
    <row r="440" spans="1:3">
      <c r="A440">
        <v>415</v>
      </c>
      <c r="B440">
        <v>-2089.337111005585</v>
      </c>
      <c r="C440">
        <v>9089.337111005585</v>
      </c>
    </row>
    <row r="441" spans="1:3">
      <c r="A441">
        <v>416</v>
      </c>
      <c r="B441">
        <v>12761.08346955484</v>
      </c>
      <c r="C441">
        <v>-5561.0834695548401</v>
      </c>
    </row>
    <row r="442" spans="1:3">
      <c r="A442">
        <v>417</v>
      </c>
      <c r="B442">
        <v>16628.157857739814</v>
      </c>
      <c r="C442">
        <v>-9128.1578577398141</v>
      </c>
    </row>
    <row r="443" spans="1:3">
      <c r="A443">
        <v>418</v>
      </c>
      <c r="B443">
        <v>8552.0566327828965</v>
      </c>
      <c r="C443">
        <v>1847.9433672171035</v>
      </c>
    </row>
    <row r="444" spans="1:3">
      <c r="A444">
        <v>419</v>
      </c>
      <c r="B444">
        <v>15745.950358704313</v>
      </c>
      <c r="C444">
        <v>-6945.9503587043127</v>
      </c>
    </row>
    <row r="445" spans="1:3">
      <c r="A445">
        <v>420</v>
      </c>
      <c r="B445">
        <v>18801.331872526542</v>
      </c>
      <c r="C445">
        <v>-10401.331872526542</v>
      </c>
    </row>
    <row r="446" spans="1:3">
      <c r="A446">
        <v>421</v>
      </c>
      <c r="B446">
        <v>21656.190775360228</v>
      </c>
      <c r="C446">
        <v>-4956.1907753602281</v>
      </c>
    </row>
    <row r="447" spans="1:3">
      <c r="A447">
        <v>422</v>
      </c>
      <c r="B447">
        <v>19155.997974417925</v>
      </c>
      <c r="C447">
        <v>-4955.9979744179254</v>
      </c>
    </row>
    <row r="448" spans="1:3">
      <c r="A448">
        <v>423</v>
      </c>
      <c r="B448">
        <v>18359.83721081604</v>
      </c>
      <c r="C448">
        <v>2440.1627891839598</v>
      </c>
    </row>
    <row r="449" spans="1:3">
      <c r="A449">
        <v>424</v>
      </c>
      <c r="B449">
        <v>14774.692651985624</v>
      </c>
      <c r="C449">
        <v>-1374.6926519856243</v>
      </c>
    </row>
    <row r="450" spans="1:3">
      <c r="A450">
        <v>425</v>
      </c>
      <c r="B450">
        <v>15971.353305329078</v>
      </c>
      <c r="C450">
        <v>-4271.3533053290776</v>
      </c>
    </row>
    <row r="451" spans="1:3">
      <c r="A451">
        <v>426</v>
      </c>
      <c r="B451">
        <v>13013.477371559416</v>
      </c>
      <c r="C451">
        <v>-4713.4773715594165</v>
      </c>
    </row>
    <row r="452" spans="1:3">
      <c r="A452">
        <v>427</v>
      </c>
      <c r="B452">
        <v>18301.402388407485</v>
      </c>
      <c r="C452">
        <v>-8101.402388407485</v>
      </c>
    </row>
    <row r="453" spans="1:3">
      <c r="A453">
        <v>428</v>
      </c>
      <c r="B453">
        <v>20912.559253755957</v>
      </c>
      <c r="C453">
        <v>-10012.559253755957</v>
      </c>
    </row>
    <row r="454" spans="1:3">
      <c r="A454">
        <v>429</v>
      </c>
      <c r="B454">
        <v>16370.19782218802</v>
      </c>
      <c r="C454">
        <v>-5370.1978221880199</v>
      </c>
    </row>
    <row r="455" spans="1:3">
      <c r="A455">
        <v>430</v>
      </c>
      <c r="B455">
        <v>15678.485839593985</v>
      </c>
      <c r="C455">
        <v>-6178.4858395939846</v>
      </c>
    </row>
    <row r="456" spans="1:3">
      <c r="A456">
        <v>431</v>
      </c>
      <c r="B456">
        <v>19652.240296627409</v>
      </c>
      <c r="C456">
        <v>-5152.2402966274094</v>
      </c>
    </row>
    <row r="457" spans="1:3">
      <c r="A457">
        <v>432</v>
      </c>
      <c r="B457">
        <v>20806.377883830166</v>
      </c>
      <c r="C457">
        <v>-6706.377883830166</v>
      </c>
    </row>
    <row r="458" spans="1:3">
      <c r="A458">
        <v>433</v>
      </c>
      <c r="B458">
        <v>23648.169226530888</v>
      </c>
      <c r="C458">
        <v>-7548.1692265308866</v>
      </c>
    </row>
    <row r="459" spans="1:3">
      <c r="A459">
        <v>434</v>
      </c>
      <c r="B459">
        <v>21012.730473875694</v>
      </c>
      <c r="C459">
        <v>-6712.7304738756939</v>
      </c>
    </row>
    <row r="460" spans="1:3">
      <c r="A460">
        <v>435</v>
      </c>
      <c r="B460">
        <v>20525.595064403293</v>
      </c>
      <c r="C460">
        <v>-8825.5950644032928</v>
      </c>
    </row>
    <row r="461" spans="1:3">
      <c r="A461">
        <v>436</v>
      </c>
      <c r="B461">
        <v>17467.39829843153</v>
      </c>
      <c r="C461">
        <v>-4067.3982984315298</v>
      </c>
    </row>
    <row r="462" spans="1:3">
      <c r="A462">
        <v>437</v>
      </c>
      <c r="B462">
        <v>19964.584421817344</v>
      </c>
      <c r="C462">
        <v>-10364.584421817344</v>
      </c>
    </row>
    <row r="463" spans="1:3">
      <c r="A463">
        <v>438</v>
      </c>
      <c r="B463">
        <v>12994.484927006666</v>
      </c>
      <c r="C463">
        <v>-4294.4849270066661</v>
      </c>
    </row>
    <row r="464" spans="1:3">
      <c r="A464">
        <v>439</v>
      </c>
      <c r="B464">
        <v>7026.2633441775761</v>
      </c>
      <c r="C464">
        <v>1373.7366558224239</v>
      </c>
    </row>
    <row r="465" spans="1:3">
      <c r="A465">
        <v>440</v>
      </c>
      <c r="B465">
        <v>12612.940488481523</v>
      </c>
      <c r="C465">
        <v>187.05951151847694</v>
      </c>
    </row>
    <row r="466" spans="1:3">
      <c r="A466">
        <v>441</v>
      </c>
      <c r="B466">
        <v>14080.660910857781</v>
      </c>
      <c r="C466">
        <v>-3580.6609108577813</v>
      </c>
    </row>
    <row r="467" spans="1:3">
      <c r="A467">
        <v>442</v>
      </c>
      <c r="B467">
        <v>18740.104331339964</v>
      </c>
      <c r="C467">
        <v>-1640.1043313399641</v>
      </c>
    </row>
    <row r="468" spans="1:3">
      <c r="A468">
        <v>443</v>
      </c>
      <c r="B468">
        <v>19669.488897604333</v>
      </c>
      <c r="C468">
        <v>-1269.488897604333</v>
      </c>
    </row>
    <row r="469" spans="1:3">
      <c r="A469">
        <v>444</v>
      </c>
      <c r="B469">
        <v>19572.972666046124</v>
      </c>
      <c r="C469">
        <v>-4172.9726660461238</v>
      </c>
    </row>
    <row r="470" spans="1:3">
      <c r="A470">
        <v>445</v>
      </c>
      <c r="B470">
        <v>13184.91127676376</v>
      </c>
      <c r="C470">
        <v>-2384.9112767637598</v>
      </c>
    </row>
    <row r="471" spans="1:3">
      <c r="A471">
        <v>446</v>
      </c>
      <c r="B471">
        <v>16145.209923780985</v>
      </c>
      <c r="C471">
        <v>-4345.2099237809853</v>
      </c>
    </row>
    <row r="472" spans="1:3">
      <c r="A472">
        <v>447</v>
      </c>
      <c r="B472">
        <v>19520.223030600435</v>
      </c>
      <c r="C472">
        <v>-4620.2230306004349</v>
      </c>
    </row>
    <row r="473" spans="1:3">
      <c r="A473">
        <v>448</v>
      </c>
      <c r="B473">
        <v>19928.875863239722</v>
      </c>
      <c r="C473">
        <v>-7328.8758632397221</v>
      </c>
    </row>
    <row r="474" spans="1:3">
      <c r="A474">
        <v>449</v>
      </c>
      <c r="B474">
        <v>18507.034271400924</v>
      </c>
      <c r="C474">
        <v>-4407.0342714009239</v>
      </c>
    </row>
    <row r="475" spans="1:3">
      <c r="A475">
        <v>450</v>
      </c>
      <c r="B475">
        <v>18931.042249358936</v>
      </c>
      <c r="C475">
        <v>-5931.0422493589358</v>
      </c>
    </row>
    <row r="476" spans="1:3">
      <c r="A476">
        <v>451</v>
      </c>
      <c r="B476">
        <v>21823.721945195186</v>
      </c>
      <c r="C476">
        <v>-8423.721945195186</v>
      </c>
    </row>
    <row r="477" spans="1:3">
      <c r="A477">
        <v>452</v>
      </c>
      <c r="B477">
        <v>21158.527957736762</v>
      </c>
      <c r="C477">
        <v>-5958.5279577367619</v>
      </c>
    </row>
    <row r="478" spans="1:3">
      <c r="A478">
        <v>453</v>
      </c>
      <c r="B478">
        <v>19630.07869309657</v>
      </c>
      <c r="C478">
        <v>-3530.0786930965678</v>
      </c>
    </row>
    <row r="479" spans="1:3">
      <c r="A479">
        <v>454</v>
      </c>
      <c r="B479">
        <v>25554.416241078812</v>
      </c>
      <c r="C479">
        <v>-7754.4162410788122</v>
      </c>
    </row>
    <row r="480" spans="1:3">
      <c r="A480">
        <v>455</v>
      </c>
      <c r="B480">
        <v>20900.936313034079</v>
      </c>
      <c r="C480">
        <v>-6000.9363130340789</v>
      </c>
    </row>
    <row r="481" spans="1:3">
      <c r="A481">
        <v>456</v>
      </c>
      <c r="B481">
        <v>20239.262186075357</v>
      </c>
      <c r="C481">
        <v>-6139.262186075357</v>
      </c>
    </row>
    <row r="482" spans="1:3">
      <c r="A482">
        <v>457</v>
      </c>
      <c r="B482">
        <v>16876.948248539757</v>
      </c>
      <c r="C482">
        <v>-4176.9482485397566</v>
      </c>
    </row>
    <row r="483" spans="1:3">
      <c r="A483">
        <v>458</v>
      </c>
      <c r="B483">
        <v>18002.838481051644</v>
      </c>
      <c r="C483">
        <v>-4502.8384810516436</v>
      </c>
    </row>
    <row r="484" spans="1:3">
      <c r="A484">
        <v>459</v>
      </c>
      <c r="B484">
        <v>20318.510512647816</v>
      </c>
      <c r="C484">
        <v>-5418.5105126478156</v>
      </c>
    </row>
    <row r="485" spans="1:3">
      <c r="A485">
        <v>460</v>
      </c>
      <c r="B485">
        <v>20180.465407487296</v>
      </c>
      <c r="C485">
        <v>-180.46540748729603</v>
      </c>
    </row>
    <row r="486" spans="1:3">
      <c r="A486">
        <v>461</v>
      </c>
      <c r="B486">
        <v>22234.37762287604</v>
      </c>
      <c r="C486">
        <v>-5834.3776228760398</v>
      </c>
    </row>
    <row r="487" spans="1:3">
      <c r="A487">
        <v>462</v>
      </c>
      <c r="B487">
        <v>21715.545779578781</v>
      </c>
      <c r="C487">
        <v>-4015.5457795787806</v>
      </c>
    </row>
    <row r="488" spans="1:3">
      <c r="A488">
        <v>463</v>
      </c>
      <c r="B488">
        <v>21838.909789104051</v>
      </c>
      <c r="C488">
        <v>-2338.909789104051</v>
      </c>
    </row>
    <row r="489" spans="1:3">
      <c r="A489">
        <v>464</v>
      </c>
      <c r="B489">
        <v>25214.214070737293</v>
      </c>
      <c r="C489">
        <v>-5014.2140707372928</v>
      </c>
    </row>
    <row r="490" spans="1:3">
      <c r="A490">
        <v>465</v>
      </c>
      <c r="B490">
        <v>21783.288604163678</v>
      </c>
      <c r="C490">
        <v>-383.28860416367752</v>
      </c>
    </row>
    <row r="491" spans="1:3">
      <c r="A491">
        <v>466</v>
      </c>
      <c r="B491">
        <v>18906.087927050081</v>
      </c>
      <c r="C491">
        <v>993.91207294991909</v>
      </c>
    </row>
    <row r="492" spans="1:3">
      <c r="A492">
        <v>467</v>
      </c>
      <c r="B492">
        <v>17949.45983860976</v>
      </c>
      <c r="C492">
        <v>1050.5401613902395</v>
      </c>
    </row>
    <row r="493" spans="1:3">
      <c r="A493">
        <v>468</v>
      </c>
      <c r="B493">
        <v>15530.659772012907</v>
      </c>
      <c r="C493">
        <v>3569.3402279870934</v>
      </c>
    </row>
    <row r="494" spans="1:3">
      <c r="A494">
        <v>469</v>
      </c>
      <c r="B494">
        <v>17187.484183457767</v>
      </c>
      <c r="C494">
        <v>1912.5158165422326</v>
      </c>
    </row>
    <row r="495" spans="1:3">
      <c r="A495">
        <v>470</v>
      </c>
      <c r="B495">
        <v>18267.041929196792</v>
      </c>
      <c r="C495">
        <v>1832.9580708032081</v>
      </c>
    </row>
    <row r="496" spans="1:3">
      <c r="A496">
        <v>471</v>
      </c>
      <c r="B496">
        <v>19597.267422692068</v>
      </c>
      <c r="C496">
        <v>302.73257730793193</v>
      </c>
    </row>
    <row r="497" spans="1:3">
      <c r="A497">
        <v>472</v>
      </c>
      <c r="B497">
        <v>22110.009780835855</v>
      </c>
      <c r="C497">
        <v>-2510.0097808358551</v>
      </c>
    </row>
    <row r="498" spans="1:3">
      <c r="A498">
        <v>473</v>
      </c>
      <c r="B498">
        <v>22212.611763554109</v>
      </c>
      <c r="C498">
        <v>987.38823644589138</v>
      </c>
    </row>
    <row r="499" spans="1:3">
      <c r="A499">
        <v>474</v>
      </c>
      <c r="B499">
        <v>26713.449141508005</v>
      </c>
      <c r="C499">
        <v>3086.5508584919953</v>
      </c>
    </row>
    <row r="500" spans="1:3">
      <c r="A500">
        <v>475</v>
      </c>
      <c r="B500">
        <v>14638.761395931384</v>
      </c>
      <c r="C500">
        <v>-838.76139593138396</v>
      </c>
    </row>
    <row r="501" spans="1:3">
      <c r="A501">
        <v>476</v>
      </c>
      <c r="B501">
        <v>14554.974892323738</v>
      </c>
      <c r="C501">
        <v>-1254.9748923237385</v>
      </c>
    </row>
    <row r="502" spans="1:3">
      <c r="A502">
        <v>477</v>
      </c>
      <c r="B502">
        <v>19677.078794883288</v>
      </c>
      <c r="C502">
        <v>-2977.0787948832876</v>
      </c>
    </row>
    <row r="503" spans="1:3">
      <c r="A503">
        <v>478</v>
      </c>
      <c r="B503">
        <v>9663.336551025237</v>
      </c>
      <c r="C503">
        <v>2336.663448974763</v>
      </c>
    </row>
    <row r="504" spans="1:3">
      <c r="A504">
        <v>479</v>
      </c>
      <c r="B504">
        <v>18571.270104825337</v>
      </c>
      <c r="C504">
        <v>-3971.2701048253366</v>
      </c>
    </row>
    <row r="505" spans="1:3">
      <c r="A505">
        <v>480</v>
      </c>
      <c r="B505">
        <v>21955.843780617266</v>
      </c>
      <c r="C505">
        <v>-555.84378061726602</v>
      </c>
    </row>
    <row r="506" spans="1:3">
      <c r="A506">
        <v>481</v>
      </c>
      <c r="B506">
        <v>23544.465276572228</v>
      </c>
      <c r="C506">
        <v>-544.46527657222759</v>
      </c>
    </row>
    <row r="507" spans="1:3">
      <c r="A507">
        <v>482</v>
      </c>
      <c r="B507">
        <v>28059.692575347577</v>
      </c>
      <c r="C507">
        <v>-4359.6925753475771</v>
      </c>
    </row>
    <row r="508" spans="1:3">
      <c r="A508">
        <v>483</v>
      </c>
      <c r="B508">
        <v>30113.093222474457</v>
      </c>
      <c r="C508">
        <v>-5113.0932224744574</v>
      </c>
    </row>
    <row r="509" spans="1:3">
      <c r="A509">
        <v>484</v>
      </c>
      <c r="B509">
        <v>21304.521711048805</v>
      </c>
      <c r="C509">
        <v>495.47828895119528</v>
      </c>
    </row>
    <row r="510" spans="1:3">
      <c r="A510">
        <v>485</v>
      </c>
      <c r="B510">
        <v>19984.167265348631</v>
      </c>
      <c r="C510">
        <v>615.83273465136881</v>
      </c>
    </row>
    <row r="511" spans="1:3">
      <c r="A511">
        <v>486</v>
      </c>
      <c r="B511">
        <v>24003.877768954848</v>
      </c>
      <c r="C511">
        <v>-2803.8777689548479</v>
      </c>
    </row>
    <row r="512" spans="1:3">
      <c r="A512">
        <v>487</v>
      </c>
      <c r="B512">
        <v>20168.733077382039</v>
      </c>
      <c r="C512">
        <v>-1068.7330773820395</v>
      </c>
    </row>
    <row r="513" spans="1:3">
      <c r="A513">
        <v>488</v>
      </c>
      <c r="B513">
        <v>21371.447308537481</v>
      </c>
      <c r="C513">
        <v>-771.44730853748115</v>
      </c>
    </row>
    <row r="514" spans="1:3">
      <c r="A514">
        <v>489</v>
      </c>
      <c r="B514">
        <v>14827.709338248005</v>
      </c>
      <c r="C514">
        <v>372.29066175199478</v>
      </c>
    </row>
    <row r="515" spans="1:3">
      <c r="A515">
        <v>490</v>
      </c>
      <c r="B515">
        <v>10827.58006349174</v>
      </c>
      <c r="C515">
        <v>-3827.5800634917396</v>
      </c>
    </row>
    <row r="516" spans="1:3">
      <c r="A516">
        <v>491</v>
      </c>
      <c r="B516">
        <v>5524.287031985732</v>
      </c>
      <c r="C516">
        <v>2575.712968014268</v>
      </c>
    </row>
    <row r="517" spans="1:3">
      <c r="A517">
        <v>492</v>
      </c>
      <c r="B517">
        <v>17516.428598619594</v>
      </c>
      <c r="C517">
        <v>-3916.4285986195937</v>
      </c>
    </row>
    <row r="518" spans="1:3">
      <c r="A518">
        <v>493</v>
      </c>
      <c r="B518">
        <v>20548.359936251883</v>
      </c>
      <c r="C518">
        <v>-448.35993625188348</v>
      </c>
    </row>
    <row r="519" spans="1:3">
      <c r="A519">
        <v>494</v>
      </c>
      <c r="B519">
        <v>20002.95862046213</v>
      </c>
      <c r="C519">
        <v>1797.0413795378699</v>
      </c>
    </row>
    <row r="520" spans="1:3">
      <c r="A520">
        <v>495</v>
      </c>
      <c r="B520">
        <v>20103.79102092611</v>
      </c>
      <c r="C520">
        <v>4396.2089790738901</v>
      </c>
    </row>
    <row r="521" spans="1:3">
      <c r="A521">
        <v>496</v>
      </c>
      <c r="B521">
        <v>16223.668376616997</v>
      </c>
      <c r="C521">
        <v>6876.3316233830028</v>
      </c>
    </row>
    <row r="522" spans="1:3">
      <c r="A522">
        <v>497</v>
      </c>
      <c r="B522">
        <v>12523.179237778546</v>
      </c>
      <c r="C522">
        <v>7176.8207622214541</v>
      </c>
    </row>
    <row r="523" spans="1:3">
      <c r="A523">
        <v>498</v>
      </c>
      <c r="B523">
        <v>19103.676256529179</v>
      </c>
      <c r="C523">
        <v>-803.67625652917923</v>
      </c>
    </row>
    <row r="524" spans="1:3">
      <c r="A524">
        <v>499</v>
      </c>
      <c r="B524">
        <v>21007.986387412977</v>
      </c>
      <c r="C524">
        <v>192.01361258702309</v>
      </c>
    </row>
    <row r="525" spans="1:3">
      <c r="A525">
        <v>500</v>
      </c>
      <c r="B525">
        <v>17314.990625809329</v>
      </c>
      <c r="C525">
        <v>185.00937419067122</v>
      </c>
    </row>
    <row r="526" spans="1:3">
      <c r="A526">
        <v>501</v>
      </c>
      <c r="B526">
        <v>20143.019440003445</v>
      </c>
      <c r="C526">
        <v>-3343.0194400034452</v>
      </c>
    </row>
    <row r="527" spans="1:3">
      <c r="A527">
        <v>502</v>
      </c>
      <c r="B527">
        <v>26020.059276715569</v>
      </c>
      <c r="C527">
        <v>-3620.0592767155686</v>
      </c>
    </row>
    <row r="528" spans="1:3">
      <c r="A528">
        <v>503</v>
      </c>
      <c r="B528">
        <v>23989.215977328426</v>
      </c>
      <c r="C528">
        <v>-3389.2159773284257</v>
      </c>
    </row>
    <row r="529" spans="1:3">
      <c r="A529">
        <v>504</v>
      </c>
      <c r="B529">
        <v>30560.067161720312</v>
      </c>
      <c r="C529">
        <v>-6660.0671617203116</v>
      </c>
    </row>
    <row r="530" spans="1:3">
      <c r="A530">
        <v>505</v>
      </c>
      <c r="B530">
        <v>29093.234747805986</v>
      </c>
      <c r="C530">
        <v>-7093.2347478059855</v>
      </c>
    </row>
    <row r="531" spans="1:3" ht="15.75" thickBot="1">
      <c r="A531" s="13">
        <v>506</v>
      </c>
      <c r="B531" s="13">
        <v>24301.515059831087</v>
      </c>
      <c r="C531" s="13">
        <v>-12401.515059831087</v>
      </c>
    </row>
  </sheetData>
  <mergeCells count="1">
    <mergeCell ref="R2:Y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0C646-6771-45C6-9EC0-130E13278299}">
  <dimension ref="A1:O538"/>
  <sheetViews>
    <sheetView zoomScaleNormal="100" workbookViewId="0">
      <selection activeCell="B6" sqref="B6"/>
    </sheetView>
  </sheetViews>
  <sheetFormatPr defaultRowHeight="15"/>
  <cols>
    <col min="1" max="1" width="26.5703125" bestFit="1" customWidth="1"/>
    <col min="2" max="2" width="14.5703125" customWidth="1"/>
    <col min="3" max="3" width="13.140625" customWidth="1"/>
    <col min="6" max="6" width="12.140625" customWidth="1"/>
    <col min="8" max="8" width="12" customWidth="1"/>
    <col min="9" max="9" width="12.5703125" customWidth="1"/>
    <col min="10" max="10" width="2.42578125" style="51" customWidth="1"/>
    <col min="11" max="11" width="24.5703125" customWidth="1"/>
    <col min="13" max="14" width="11.5703125" customWidth="1"/>
  </cols>
  <sheetData>
    <row r="1" spans="1:15">
      <c r="A1" t="s">
        <v>127</v>
      </c>
      <c r="K1" s="59" t="s">
        <v>190</v>
      </c>
      <c r="L1" s="59"/>
      <c r="M1" s="59"/>
      <c r="N1" s="59"/>
      <c r="O1" s="59"/>
    </row>
    <row r="2" spans="1:15" ht="15.75" thickBot="1">
      <c r="K2" s="55" t="s">
        <v>192</v>
      </c>
      <c r="L2" s="55" t="s">
        <v>193</v>
      </c>
      <c r="M2" s="55" t="s">
        <v>145</v>
      </c>
      <c r="N2" s="55" t="s">
        <v>50</v>
      </c>
      <c r="O2" t="s">
        <v>10</v>
      </c>
    </row>
    <row r="3" spans="1:15">
      <c r="A3" s="44" t="s">
        <v>128</v>
      </c>
      <c r="B3" s="44"/>
      <c r="K3" s="1" t="s">
        <v>25</v>
      </c>
      <c r="L3" s="1">
        <v>-10321.163200928717</v>
      </c>
      <c r="M3" s="1">
        <v>8.2895692377742899E-3</v>
      </c>
      <c r="N3" s="1" t="s">
        <v>198</v>
      </c>
      <c r="O3" t="s">
        <v>10</v>
      </c>
    </row>
    <row r="4" spans="1:15">
      <c r="A4" t="s">
        <v>129</v>
      </c>
      <c r="B4">
        <v>0.83299610075237618</v>
      </c>
      <c r="K4" s="1" t="s">
        <v>1</v>
      </c>
      <c r="L4" s="1">
        <v>-1074.5438559300694</v>
      </c>
      <c r="M4" s="1">
        <v>6.49604512418612E-15</v>
      </c>
      <c r="N4" s="1" t="s">
        <v>201</v>
      </c>
      <c r="O4" t="s">
        <v>10</v>
      </c>
    </row>
    <row r="5" spans="1:15">
      <c r="A5" t="s">
        <v>130</v>
      </c>
      <c r="B5">
        <v>0.6938825038686629</v>
      </c>
      <c r="K5" s="1" t="s">
        <v>2</v>
      </c>
      <c r="L5" s="1">
        <v>-603.43485310133963</v>
      </c>
      <c r="M5" s="1">
        <v>8.8851522630054715E-27</v>
      </c>
      <c r="N5" s="1" t="s">
        <v>203</v>
      </c>
      <c r="O5" t="s">
        <v>10</v>
      </c>
    </row>
    <row r="6" spans="1:15">
      <c r="A6" t="s">
        <v>131</v>
      </c>
      <c r="B6">
        <v>0.68832795252757006</v>
      </c>
      <c r="K6" s="1" t="s">
        <v>8</v>
      </c>
      <c r="L6" s="1">
        <v>-14.39376607709093</v>
      </c>
      <c r="M6" s="1">
        <v>2.5304662439058648E-4</v>
      </c>
      <c r="N6" s="1" t="s">
        <v>200</v>
      </c>
      <c r="O6" t="s">
        <v>10</v>
      </c>
    </row>
    <row r="7" spans="1:15">
      <c r="A7" t="s">
        <v>27</v>
      </c>
      <c r="B7">
        <v>5134.5221132601209</v>
      </c>
      <c r="K7" s="1" t="s">
        <v>3</v>
      </c>
      <c r="L7" s="1">
        <v>51.592994797053656</v>
      </c>
      <c r="M7" s="1">
        <v>0.5109501955729977</v>
      </c>
      <c r="N7" s="1" t="s">
        <v>195</v>
      </c>
      <c r="O7" t="s">
        <v>10</v>
      </c>
    </row>
    <row r="8" spans="1:15" ht="15.75" thickBot="1">
      <c r="A8" s="13" t="s">
        <v>132</v>
      </c>
      <c r="B8" s="13">
        <v>506</v>
      </c>
      <c r="K8" s="1" t="s">
        <v>5</v>
      </c>
      <c r="L8" s="1">
        <v>130.44329477047839</v>
      </c>
      <c r="M8" s="1">
        <v>3.9276012619091312E-2</v>
      </c>
      <c r="N8" s="1" t="s">
        <v>197</v>
      </c>
      <c r="O8" t="s">
        <v>10</v>
      </c>
    </row>
    <row r="9" spans="1:15">
      <c r="K9" s="1" t="s">
        <v>7</v>
      </c>
      <c r="L9" s="1">
        <v>261.00122732407351</v>
      </c>
      <c r="M9" s="1">
        <v>1.3822297425022728E-4</v>
      </c>
      <c r="N9" s="1" t="s">
        <v>199</v>
      </c>
      <c r="O9" t="s">
        <v>10</v>
      </c>
    </row>
    <row r="10" spans="1:15" ht="15.75" thickBot="1">
      <c r="A10" t="s">
        <v>133</v>
      </c>
      <c r="K10" s="1" t="s">
        <v>6</v>
      </c>
      <c r="L10" s="1">
        <v>3277.0430842470837</v>
      </c>
      <c r="M10" s="1">
        <v>1.2665087884995487E-2</v>
      </c>
      <c r="N10" s="1" t="s">
        <v>196</v>
      </c>
      <c r="O10" t="s">
        <v>10</v>
      </c>
    </row>
    <row r="11" spans="1:15">
      <c r="A11" s="15"/>
      <c r="B11" s="15" t="s">
        <v>138</v>
      </c>
      <c r="C11" s="15" t="s">
        <v>139</v>
      </c>
      <c r="D11" s="15" t="s">
        <v>140</v>
      </c>
      <c r="E11" s="15" t="s">
        <v>141</v>
      </c>
      <c r="F11" s="15" t="s">
        <v>142</v>
      </c>
      <c r="K11" s="1" t="s">
        <v>4</v>
      </c>
      <c r="L11" s="1">
        <v>4125.1303933876779</v>
      </c>
      <c r="M11" s="1">
        <v>3.899044635536092E-19</v>
      </c>
      <c r="N11" s="1" t="s">
        <v>202</v>
      </c>
      <c r="O11" t="s">
        <v>10</v>
      </c>
    </row>
    <row r="12" spans="1:15">
      <c r="A12" t="s">
        <v>134</v>
      </c>
      <c r="B12">
        <v>9</v>
      </c>
      <c r="C12">
        <v>29640090018.567398</v>
      </c>
      <c r="D12">
        <v>3293343335.3963776</v>
      </c>
      <c r="E12">
        <v>124.92143131980623</v>
      </c>
      <c r="F12">
        <v>1.8884821438309078E-121</v>
      </c>
      <c r="G12" t="s">
        <v>189</v>
      </c>
      <c r="J12" s="51" t="s">
        <v>10</v>
      </c>
    </row>
    <row r="13" spans="1:15">
      <c r="A13" t="s">
        <v>135</v>
      </c>
      <c r="B13">
        <v>496</v>
      </c>
      <c r="C13">
        <v>13076205396.452362</v>
      </c>
      <c r="D13">
        <v>26363317.331557181</v>
      </c>
    </row>
    <row r="14" spans="1:15" ht="15.75" thickBot="1">
      <c r="A14" s="13" t="s">
        <v>136</v>
      </c>
      <c r="B14" s="13">
        <v>505</v>
      </c>
      <c r="C14" s="13">
        <v>42716295415.01976</v>
      </c>
      <c r="D14" s="13"/>
      <c r="E14" s="13"/>
      <c r="F14" s="13"/>
    </row>
    <row r="15" spans="1:15" ht="15.75" thickBot="1">
      <c r="K15" s="1" t="s">
        <v>191</v>
      </c>
      <c r="L15" s="1">
        <v>29232.109909999999</v>
      </c>
      <c r="M15" s="1">
        <v>2.5606739153183369E-9</v>
      </c>
      <c r="N15" s="1" t="s">
        <v>194</v>
      </c>
      <c r="O15" t="s">
        <v>10</v>
      </c>
    </row>
    <row r="16" spans="1:15">
      <c r="A16" s="15"/>
      <c r="B16" s="15" t="s">
        <v>143</v>
      </c>
      <c r="C16" s="15" t="s">
        <v>27</v>
      </c>
      <c r="D16" s="15" t="s">
        <v>144</v>
      </c>
      <c r="E16" s="15" t="s">
        <v>145</v>
      </c>
      <c r="F16" s="15" t="s">
        <v>146</v>
      </c>
      <c r="G16" s="15" t="s">
        <v>147</v>
      </c>
      <c r="H16" s="15" t="s">
        <v>148</v>
      </c>
      <c r="I16" s="15" t="s">
        <v>149</v>
      </c>
      <c r="K16" s="54"/>
    </row>
    <row r="17" spans="1:14">
      <c r="A17" t="s">
        <v>137</v>
      </c>
      <c r="B17">
        <v>29232.109910590934</v>
      </c>
      <c r="C17">
        <v>4816.7310953485776</v>
      </c>
      <c r="D17">
        <v>6.0688689760613395</v>
      </c>
      <c r="E17">
        <v>2.5606739153183369E-9</v>
      </c>
      <c r="F17">
        <v>19768.397592879435</v>
      </c>
      <c r="G17">
        <v>38695.822228302437</v>
      </c>
      <c r="H17">
        <v>19768.397592879435</v>
      </c>
      <c r="I17">
        <v>38695.822228302437</v>
      </c>
      <c r="K17" s="60" t="s">
        <v>204</v>
      </c>
      <c r="L17" s="60"/>
      <c r="M17" s="1" t="s">
        <v>207</v>
      </c>
      <c r="N17" t="s">
        <v>10</v>
      </c>
    </row>
    <row r="18" spans="1:14">
      <c r="A18" t="s">
        <v>3</v>
      </c>
      <c r="B18">
        <v>51.592994797053656</v>
      </c>
      <c r="C18">
        <v>78.428631944317004</v>
      </c>
      <c r="D18">
        <v>0.65783367015357097</v>
      </c>
      <c r="E18">
        <v>0.5109501955729977</v>
      </c>
      <c r="F18">
        <v>-102.50030945849167</v>
      </c>
      <c r="G18">
        <v>205.68629905259897</v>
      </c>
      <c r="H18">
        <v>-102.50030945849167</v>
      </c>
      <c r="I18">
        <v>205.68629905259897</v>
      </c>
      <c r="K18" s="60" t="s">
        <v>205</v>
      </c>
      <c r="L18" s="60"/>
      <c r="M18" s="1" t="s">
        <v>206</v>
      </c>
      <c r="N18" t="s">
        <v>10</v>
      </c>
    </row>
    <row r="19" spans="1:14">
      <c r="A19" t="s">
        <v>6</v>
      </c>
      <c r="B19">
        <v>3277.0430842470837</v>
      </c>
      <c r="C19">
        <v>1309.6918213034589</v>
      </c>
      <c r="D19">
        <v>2.5021482389541352</v>
      </c>
      <c r="E19">
        <v>1.2665087884995487E-2</v>
      </c>
      <c r="F19">
        <v>703.81522985331821</v>
      </c>
      <c r="G19">
        <v>5850.2709386408496</v>
      </c>
      <c r="H19">
        <v>703.81522985331821</v>
      </c>
      <c r="I19">
        <v>5850.2709386408496</v>
      </c>
    </row>
    <row r="20" spans="1:14">
      <c r="A20" t="s">
        <v>5</v>
      </c>
      <c r="B20">
        <v>130.44329477047839</v>
      </c>
      <c r="C20">
        <v>63.115152828754553</v>
      </c>
      <c r="D20">
        <v>2.0667508343741172</v>
      </c>
      <c r="E20">
        <v>3.9276012619091312E-2</v>
      </c>
      <c r="F20">
        <v>6.4372754524116971</v>
      </c>
      <c r="G20">
        <v>254.44931408854507</v>
      </c>
      <c r="H20">
        <v>6.4372754524116971</v>
      </c>
      <c r="I20">
        <v>254.44931408854507</v>
      </c>
    </row>
    <row r="21" spans="1:14">
      <c r="A21" t="s">
        <v>25</v>
      </c>
      <c r="B21">
        <v>-10321.163200928717</v>
      </c>
      <c r="C21">
        <v>3893.7684009529817</v>
      </c>
      <c r="D21">
        <v>-2.6506874929702189</v>
      </c>
      <c r="E21">
        <v>8.2895692377742899E-3</v>
      </c>
      <c r="F21">
        <v>-17971.4769197077</v>
      </c>
      <c r="G21">
        <v>-2670.8494821497343</v>
      </c>
      <c r="H21">
        <v>-17971.4769197077</v>
      </c>
      <c r="I21">
        <v>-2670.8494821497343</v>
      </c>
    </row>
    <row r="22" spans="1:14">
      <c r="A22" t="s">
        <v>7</v>
      </c>
      <c r="B22">
        <v>261.00122732407351</v>
      </c>
      <c r="C22">
        <v>67.944964444849674</v>
      </c>
      <c r="D22">
        <v>3.8413623357758309</v>
      </c>
      <c r="E22">
        <v>1.3822297425022728E-4</v>
      </c>
      <c r="F22">
        <v>127.50579562680949</v>
      </c>
      <c r="G22">
        <v>394.49665902133756</v>
      </c>
      <c r="H22">
        <v>127.50579562680949</v>
      </c>
      <c r="I22">
        <v>394.49665902133756</v>
      </c>
    </row>
    <row r="23" spans="1:14">
      <c r="A23" t="s">
        <v>8</v>
      </c>
      <c r="B23">
        <v>-14.39376607709093</v>
      </c>
      <c r="C23">
        <v>3.9051215126836878</v>
      </c>
      <c r="D23">
        <v>-3.6858689365594692</v>
      </c>
      <c r="E23">
        <v>2.5304662439058648E-4</v>
      </c>
      <c r="F23">
        <v>-22.066385916183336</v>
      </c>
      <c r="G23">
        <v>-6.7211462379985267</v>
      </c>
      <c r="H23">
        <v>-22.066385916183336</v>
      </c>
      <c r="I23">
        <v>-6.7211462379985267</v>
      </c>
    </row>
    <row r="24" spans="1:14">
      <c r="A24" t="s">
        <v>1</v>
      </c>
      <c r="B24">
        <v>-1074.5438559300694</v>
      </c>
      <c r="C24">
        <v>133.59959384430209</v>
      </c>
      <c r="D24">
        <v>-8.0430173850853954</v>
      </c>
      <c r="E24">
        <v>6.49604512418612E-15</v>
      </c>
      <c r="F24">
        <v>-1337.0347645727652</v>
      </c>
      <c r="G24">
        <v>-812.05294728737363</v>
      </c>
      <c r="H24">
        <v>-1337.0347645727652</v>
      </c>
      <c r="I24">
        <v>-812.05294728737363</v>
      </c>
    </row>
    <row r="25" spans="1:14">
      <c r="A25" t="s">
        <v>4</v>
      </c>
      <c r="B25">
        <v>4125.1303933876779</v>
      </c>
      <c r="C25">
        <v>442.73847302661488</v>
      </c>
      <c r="D25">
        <v>9.3173072698827752</v>
      </c>
      <c r="E25">
        <v>3.899044635536092E-19</v>
      </c>
      <c r="F25">
        <v>3255.2563112009211</v>
      </c>
      <c r="G25">
        <v>4995.0044755744348</v>
      </c>
      <c r="H25">
        <v>3255.2563112009211</v>
      </c>
      <c r="I25">
        <v>4995.0044755744348</v>
      </c>
    </row>
    <row r="26" spans="1:14" ht="15.75" thickBot="1">
      <c r="A26" s="13" t="s">
        <v>2</v>
      </c>
      <c r="B26" s="13">
        <v>-603.43485310133963</v>
      </c>
      <c r="C26" s="13">
        <v>53.075134931921511</v>
      </c>
      <c r="D26" s="13">
        <v>-11.369445482811383</v>
      </c>
      <c r="E26" s="13">
        <v>8.8851522630054715E-27</v>
      </c>
      <c r="F26" s="13">
        <v>-707.71466409275558</v>
      </c>
      <c r="G26" s="13">
        <v>-499.15504210992367</v>
      </c>
      <c r="H26" s="13">
        <v>-707.71466409275558</v>
      </c>
      <c r="I26" s="13">
        <v>-499.15504210992367</v>
      </c>
    </row>
    <row r="30" spans="1:14">
      <c r="A30" t="s">
        <v>150</v>
      </c>
    </row>
    <row r="31" spans="1:14" ht="15.75" thickBot="1"/>
    <row r="32" spans="1:14">
      <c r="A32" s="15" t="s">
        <v>50</v>
      </c>
      <c r="B32" s="15" t="s">
        <v>151</v>
      </c>
      <c r="C32" s="15" t="s">
        <v>152</v>
      </c>
    </row>
    <row r="33" spans="1:3">
      <c r="A33">
        <v>1</v>
      </c>
      <c r="B33">
        <v>30016.68232882192</v>
      </c>
      <c r="C33">
        <v>-6016.6823288219202</v>
      </c>
    </row>
    <row r="34" spans="1:3">
      <c r="A34">
        <v>2</v>
      </c>
      <c r="B34">
        <v>27005.569391461842</v>
      </c>
      <c r="C34">
        <v>-5405.5693914618423</v>
      </c>
    </row>
    <row r="35" spans="1:3">
      <c r="A35">
        <v>3</v>
      </c>
      <c r="B35">
        <v>32841.078503839395</v>
      </c>
      <c r="C35">
        <v>1858.9214961606049</v>
      </c>
    </row>
    <row r="36" spans="1:3">
      <c r="A36">
        <v>4</v>
      </c>
      <c r="B36">
        <v>31211.257487862094</v>
      </c>
      <c r="C36">
        <v>2188.7425121379056</v>
      </c>
    </row>
    <row r="37" spans="1:3">
      <c r="A37">
        <v>5</v>
      </c>
      <c r="B37">
        <v>30595.504853041039</v>
      </c>
      <c r="C37">
        <v>5604.4951469589614</v>
      </c>
    </row>
    <row r="38" spans="1:3">
      <c r="A38">
        <v>6</v>
      </c>
      <c r="B38">
        <v>28090.349888680059</v>
      </c>
      <c r="C38">
        <v>609.65011131994106</v>
      </c>
    </row>
    <row r="39" spans="1:3">
      <c r="A39">
        <v>7</v>
      </c>
      <c r="B39">
        <v>25313.992805749858</v>
      </c>
      <c r="C39">
        <v>-2413.9928057498582</v>
      </c>
    </row>
    <row r="40" spans="1:3">
      <c r="A40">
        <v>8</v>
      </c>
      <c r="B40">
        <v>22542.049820355394</v>
      </c>
      <c r="C40">
        <v>4557.9501796446057</v>
      </c>
    </row>
    <row r="41" spans="1:3">
      <c r="A41">
        <v>9</v>
      </c>
      <c r="B41">
        <v>14185.936915891416</v>
      </c>
      <c r="C41">
        <v>2314.063084108584</v>
      </c>
    </row>
    <row r="42" spans="1:3">
      <c r="A42">
        <v>10</v>
      </c>
      <c r="B42">
        <v>22667.198457063641</v>
      </c>
      <c r="C42">
        <v>-3767.1984570636414</v>
      </c>
    </row>
    <row r="43" spans="1:3">
      <c r="A43">
        <v>11</v>
      </c>
      <c r="B43">
        <v>22789.83212168566</v>
      </c>
      <c r="C43">
        <v>-7789.8321216856602</v>
      </c>
    </row>
    <row r="44" spans="1:3">
      <c r="A44">
        <v>12</v>
      </c>
      <c r="B44">
        <v>24922.853291644038</v>
      </c>
      <c r="C44">
        <v>-6022.8532916440381</v>
      </c>
    </row>
    <row r="45" spans="1:3">
      <c r="A45">
        <v>13</v>
      </c>
      <c r="B45">
        <v>21627.759627699437</v>
      </c>
      <c r="C45">
        <v>72.24037230056274</v>
      </c>
    </row>
    <row r="46" spans="1:3">
      <c r="A46">
        <v>14</v>
      </c>
      <c r="B46">
        <v>20750.445709582793</v>
      </c>
      <c r="C46">
        <v>-350.44570958279292</v>
      </c>
    </row>
    <row r="47" spans="1:3">
      <c r="A47">
        <v>15</v>
      </c>
      <c r="B47">
        <v>20536.319497388606</v>
      </c>
      <c r="C47">
        <v>-2336.3194973886057</v>
      </c>
    </row>
    <row r="48" spans="1:3">
      <c r="A48">
        <v>16</v>
      </c>
      <c r="B48">
        <v>20050.97688413053</v>
      </c>
      <c r="C48">
        <v>-150.97688413053038</v>
      </c>
    </row>
    <row r="49" spans="1:3">
      <c r="A49">
        <v>17</v>
      </c>
      <c r="B49">
        <v>20631.622765893873</v>
      </c>
      <c r="C49">
        <v>2468.3772341061267</v>
      </c>
    </row>
    <row r="50" spans="1:3">
      <c r="A50">
        <v>18</v>
      </c>
      <c r="B50">
        <v>17376.590634083943</v>
      </c>
      <c r="C50">
        <v>123.40936591605714</v>
      </c>
    </row>
    <row r="51" spans="1:3">
      <c r="A51">
        <v>19</v>
      </c>
      <c r="B51">
        <v>15891.3264951988</v>
      </c>
      <c r="C51">
        <v>4308.6735048011997</v>
      </c>
    </row>
    <row r="52" spans="1:3">
      <c r="A52">
        <v>20</v>
      </c>
      <c r="B52">
        <v>18181.561101748448</v>
      </c>
      <c r="C52">
        <v>18.438898251552018</v>
      </c>
    </row>
    <row r="53" spans="1:3">
      <c r="A53">
        <v>21</v>
      </c>
      <c r="B53">
        <v>12741.250447993769</v>
      </c>
      <c r="C53">
        <v>858.74955200623117</v>
      </c>
    </row>
    <row r="54" spans="1:3">
      <c r="A54">
        <v>22</v>
      </c>
      <c r="B54">
        <v>18447.124719716867</v>
      </c>
      <c r="C54">
        <v>1152.8752802831332</v>
      </c>
    </row>
    <row r="55" spans="1:3">
      <c r="A55">
        <v>23</v>
      </c>
      <c r="B55">
        <v>16341.937891405201</v>
      </c>
      <c r="C55">
        <v>-1141.9378914052013</v>
      </c>
    </row>
    <row r="56" spans="1:3">
      <c r="A56">
        <v>24</v>
      </c>
      <c r="B56">
        <v>14205.431843807673</v>
      </c>
      <c r="C56">
        <v>294.56815619232657</v>
      </c>
    </row>
    <row r="57" spans="1:3">
      <c r="A57">
        <v>25</v>
      </c>
      <c r="B57">
        <v>16552.36712746237</v>
      </c>
      <c r="C57">
        <v>-952.36712746237026</v>
      </c>
    </row>
    <row r="58" spans="1:3">
      <c r="A58">
        <v>26</v>
      </c>
      <c r="B58">
        <v>15037.747848386314</v>
      </c>
      <c r="C58">
        <v>-1137.7478483863142</v>
      </c>
    </row>
    <row r="59" spans="1:3">
      <c r="A59">
        <v>27</v>
      </c>
      <c r="B59">
        <v>16844.819240161327</v>
      </c>
      <c r="C59">
        <v>-244.81924016132689</v>
      </c>
    </row>
    <row r="60" spans="1:3">
      <c r="A60">
        <v>28</v>
      </c>
      <c r="B60">
        <v>16497.469195897062</v>
      </c>
      <c r="C60">
        <v>-1697.4691958970616</v>
      </c>
    </row>
    <row r="61" spans="1:3">
      <c r="A61">
        <v>29</v>
      </c>
      <c r="B61">
        <v>20982.20414198087</v>
      </c>
      <c r="C61">
        <v>-2582.2041419808702</v>
      </c>
    </row>
    <row r="62" spans="1:3">
      <c r="A62">
        <v>30</v>
      </c>
      <c r="B62">
        <v>22262.898964706827</v>
      </c>
      <c r="C62">
        <v>-1262.8989647068265</v>
      </c>
    </row>
    <row r="63" spans="1:3">
      <c r="A63">
        <v>31</v>
      </c>
      <c r="B63">
        <v>11880.840969867104</v>
      </c>
      <c r="C63">
        <v>819.15903013289608</v>
      </c>
    </row>
    <row r="64" spans="1:3">
      <c r="A64">
        <v>32</v>
      </c>
      <c r="B64">
        <v>19268.741014279818</v>
      </c>
      <c r="C64">
        <v>-4768.741014279818</v>
      </c>
    </row>
    <row r="65" spans="1:3">
      <c r="A65">
        <v>33</v>
      </c>
      <c r="B65">
        <v>9369.135821494765</v>
      </c>
      <c r="C65">
        <v>3830.864178505235</v>
      </c>
    </row>
    <row r="66" spans="1:3">
      <c r="A66">
        <v>34</v>
      </c>
      <c r="B66">
        <v>14684.943682414538</v>
      </c>
      <c r="C66">
        <v>-1584.9436824145378</v>
      </c>
    </row>
    <row r="67" spans="1:3">
      <c r="A67">
        <v>35</v>
      </c>
      <c r="B67">
        <v>14851.278711458239</v>
      </c>
      <c r="C67">
        <v>-1351.2787114582388</v>
      </c>
    </row>
    <row r="68" spans="1:3">
      <c r="A68">
        <v>36</v>
      </c>
      <c r="B68">
        <v>22828.987262073515</v>
      </c>
      <c r="C68">
        <v>-3928.987262073515</v>
      </c>
    </row>
    <row r="69" spans="1:3">
      <c r="A69">
        <v>37</v>
      </c>
      <c r="B69">
        <v>21146.578943929795</v>
      </c>
      <c r="C69">
        <v>-1146.5789439297951</v>
      </c>
    </row>
    <row r="70" spans="1:3">
      <c r="A70">
        <v>38</v>
      </c>
      <c r="B70">
        <v>22088.01052958674</v>
      </c>
      <c r="C70">
        <v>-1088.0105295867397</v>
      </c>
    </row>
    <row r="71" spans="1:3">
      <c r="A71">
        <v>39</v>
      </c>
      <c r="B71">
        <v>21204.775573703722</v>
      </c>
      <c r="C71">
        <v>3495.2244262962777</v>
      </c>
    </row>
    <row r="72" spans="1:3">
      <c r="A72">
        <v>40</v>
      </c>
      <c r="B72">
        <v>28467.69464177671</v>
      </c>
      <c r="C72">
        <v>2332.3053582232897</v>
      </c>
    </row>
    <row r="73" spans="1:3">
      <c r="A73">
        <v>41</v>
      </c>
      <c r="B73">
        <v>31054.492631909077</v>
      </c>
      <c r="C73">
        <v>3845.5073680909227</v>
      </c>
    </row>
    <row r="74" spans="1:3">
      <c r="A74">
        <v>42</v>
      </c>
      <c r="B74">
        <v>29056.797406681606</v>
      </c>
      <c r="C74">
        <v>-2456.7974066816059</v>
      </c>
    </row>
    <row r="75" spans="1:3">
      <c r="A75">
        <v>43</v>
      </c>
      <c r="B75">
        <v>25896.822248716831</v>
      </c>
      <c r="C75">
        <v>-596.82224871683138</v>
      </c>
    </row>
    <row r="76" spans="1:3">
      <c r="A76">
        <v>44</v>
      </c>
      <c r="B76">
        <v>25241.592365626642</v>
      </c>
      <c r="C76">
        <v>-541.59236562664228</v>
      </c>
    </row>
    <row r="77" spans="1:3">
      <c r="A77">
        <v>45</v>
      </c>
      <c r="B77">
        <v>24526.819438261886</v>
      </c>
      <c r="C77">
        <v>-3326.8194382618858</v>
      </c>
    </row>
    <row r="78" spans="1:3">
      <c r="A78">
        <v>46</v>
      </c>
      <c r="B78">
        <v>22523.971822083513</v>
      </c>
      <c r="C78">
        <v>-3223.971822083513</v>
      </c>
    </row>
    <row r="79" spans="1:3">
      <c r="A79">
        <v>47</v>
      </c>
      <c r="B79">
        <v>20417.18611066341</v>
      </c>
      <c r="C79">
        <v>-417.18611066340964</v>
      </c>
    </row>
    <row r="80" spans="1:3">
      <c r="A80">
        <v>48</v>
      </c>
      <c r="B80">
        <v>20110.123981714227</v>
      </c>
      <c r="C80">
        <v>-3510.1239817142268</v>
      </c>
    </row>
    <row r="81" spans="1:3">
      <c r="A81">
        <v>49</v>
      </c>
      <c r="B81">
        <v>10935.508214251484</v>
      </c>
      <c r="C81">
        <v>3464.4917857485161</v>
      </c>
    </row>
    <row r="82" spans="1:3">
      <c r="A82">
        <v>50</v>
      </c>
      <c r="B82">
        <v>19494.74196117765</v>
      </c>
      <c r="C82">
        <v>-94.7419611776495</v>
      </c>
    </row>
    <row r="83" spans="1:3">
      <c r="A83">
        <v>51</v>
      </c>
      <c r="B83">
        <v>22942.868458607529</v>
      </c>
      <c r="C83">
        <v>-3242.8684586075287</v>
      </c>
    </row>
    <row r="84" spans="1:3">
      <c r="A84">
        <v>52</v>
      </c>
      <c r="B84">
        <v>26668.906410726511</v>
      </c>
      <c r="C84">
        <v>-6168.9064107265112</v>
      </c>
    </row>
    <row r="85" spans="1:3">
      <c r="A85">
        <v>53</v>
      </c>
      <c r="B85">
        <v>29316.51553638975</v>
      </c>
      <c r="C85">
        <v>-4316.5155363897502</v>
      </c>
    </row>
    <row r="86" spans="1:3">
      <c r="A86">
        <v>54</v>
      </c>
      <c r="B86">
        <v>25588.969018365431</v>
      </c>
      <c r="C86">
        <v>-2188.9690183654311</v>
      </c>
    </row>
    <row r="87" spans="1:3">
      <c r="A87">
        <v>55</v>
      </c>
      <c r="B87">
        <v>13877.368069596167</v>
      </c>
      <c r="C87">
        <v>5022.6319304038334</v>
      </c>
    </row>
    <row r="88" spans="1:3">
      <c r="A88">
        <v>56</v>
      </c>
      <c r="B88">
        <v>32027.235719815348</v>
      </c>
      <c r="C88">
        <v>3372.7642801846523</v>
      </c>
    </row>
    <row r="89" spans="1:3">
      <c r="A89">
        <v>57</v>
      </c>
      <c r="B89">
        <v>26912.820353638701</v>
      </c>
      <c r="C89">
        <v>-2212.8203536387009</v>
      </c>
    </row>
    <row r="90" spans="1:3">
      <c r="A90">
        <v>58</v>
      </c>
      <c r="B90">
        <v>33803.145102416885</v>
      </c>
      <c r="C90">
        <v>-2203.1451024168855</v>
      </c>
    </row>
    <row r="91" spans="1:3">
      <c r="A91">
        <v>59</v>
      </c>
      <c r="B91">
        <v>24379.01804365054</v>
      </c>
      <c r="C91">
        <v>-1079.0180436505398</v>
      </c>
    </row>
    <row r="92" spans="1:3">
      <c r="A92">
        <v>60</v>
      </c>
      <c r="B92">
        <v>22527.869091600063</v>
      </c>
      <c r="C92">
        <v>-2927.8690916000633</v>
      </c>
    </row>
    <row r="93" spans="1:3">
      <c r="A93">
        <v>61</v>
      </c>
      <c r="B93">
        <v>20144.328048377065</v>
      </c>
      <c r="C93">
        <v>-1444.328048377065</v>
      </c>
    </row>
    <row r="94" spans="1:3">
      <c r="A94">
        <v>62</v>
      </c>
      <c r="B94">
        <v>21116.788462223689</v>
      </c>
      <c r="C94">
        <v>-5116.7884622236888</v>
      </c>
    </row>
    <row r="95" spans="1:3">
      <c r="A95">
        <v>63</v>
      </c>
      <c r="B95">
        <v>27347.896242869108</v>
      </c>
      <c r="C95">
        <v>-5147.8962428691084</v>
      </c>
    </row>
    <row r="96" spans="1:3">
      <c r="A96">
        <v>64</v>
      </c>
      <c r="B96">
        <v>25663.385675569894</v>
      </c>
      <c r="C96">
        <v>-663.38567556989437</v>
      </c>
    </row>
    <row r="97" spans="1:3">
      <c r="A97">
        <v>65</v>
      </c>
      <c r="B97">
        <v>29303.674720526524</v>
      </c>
      <c r="C97">
        <v>3696.3252794734763</v>
      </c>
    </row>
    <row r="98" spans="1:3">
      <c r="A98">
        <v>66</v>
      </c>
      <c r="B98">
        <v>28564.060010459027</v>
      </c>
      <c r="C98">
        <v>-5064.0600104590267</v>
      </c>
    </row>
    <row r="99" spans="1:3">
      <c r="A99">
        <v>67</v>
      </c>
      <c r="B99">
        <v>23555.063211899924</v>
      </c>
      <c r="C99">
        <v>-4155.0632118999238</v>
      </c>
    </row>
    <row r="100" spans="1:3">
      <c r="A100">
        <v>68</v>
      </c>
      <c r="B100">
        <v>21926.883128873513</v>
      </c>
      <c r="C100">
        <v>73.11687112648724</v>
      </c>
    </row>
    <row r="101" spans="1:3">
      <c r="A101">
        <v>69</v>
      </c>
      <c r="B101">
        <v>18261.253133901067</v>
      </c>
      <c r="C101">
        <v>-861.25313390106749</v>
      </c>
    </row>
    <row r="102" spans="1:3">
      <c r="A102">
        <v>70</v>
      </c>
      <c r="B102">
        <v>21829.754179813088</v>
      </c>
      <c r="C102">
        <v>-929.75417981308783</v>
      </c>
    </row>
    <row r="103" spans="1:3">
      <c r="A103">
        <v>71</v>
      </c>
      <c r="B103">
        <v>25285.132066804188</v>
      </c>
      <c r="C103">
        <v>-1085.1320668041881</v>
      </c>
    </row>
    <row r="104" spans="1:3">
      <c r="A104">
        <v>72</v>
      </c>
      <c r="B104">
        <v>21636.177799810572</v>
      </c>
      <c r="C104">
        <v>63.822200189428258</v>
      </c>
    </row>
    <row r="105" spans="1:3">
      <c r="A105">
        <v>73</v>
      </c>
      <c r="B105">
        <v>24402.02691867941</v>
      </c>
      <c r="C105">
        <v>-1602.0269186794103</v>
      </c>
    </row>
    <row r="106" spans="1:3">
      <c r="A106">
        <v>74</v>
      </c>
      <c r="B106">
        <v>23986.167955482077</v>
      </c>
      <c r="C106">
        <v>-586.16795548207665</v>
      </c>
    </row>
    <row r="107" spans="1:3">
      <c r="A107">
        <v>75</v>
      </c>
      <c r="B107">
        <v>24192.202320977871</v>
      </c>
      <c r="C107">
        <v>-92.202320977870841</v>
      </c>
    </row>
    <row r="108" spans="1:3">
      <c r="A108">
        <v>76</v>
      </c>
      <c r="B108">
        <v>24312.80799693611</v>
      </c>
      <c r="C108">
        <v>-2912.8079969361097</v>
      </c>
    </row>
    <row r="109" spans="1:3">
      <c r="A109">
        <v>77</v>
      </c>
      <c r="B109">
        <v>23151.904896401669</v>
      </c>
      <c r="C109">
        <v>-3151.9048964016692</v>
      </c>
    </row>
    <row r="110" spans="1:3">
      <c r="A110">
        <v>78</v>
      </c>
      <c r="B110">
        <v>22905.29487246435</v>
      </c>
      <c r="C110">
        <v>-2105.2948724643502</v>
      </c>
    </row>
    <row r="111" spans="1:3">
      <c r="A111">
        <v>79</v>
      </c>
      <c r="B111">
        <v>22306.44951519509</v>
      </c>
      <c r="C111">
        <v>-1106.4495151950905</v>
      </c>
    </row>
    <row r="112" spans="1:3">
      <c r="A112">
        <v>80</v>
      </c>
      <c r="B112">
        <v>22014.939832128344</v>
      </c>
      <c r="C112">
        <v>-1714.9398321283443</v>
      </c>
    </row>
    <row r="113" spans="1:3">
      <c r="A113">
        <v>81</v>
      </c>
      <c r="B113">
        <v>28183.866737154651</v>
      </c>
      <c r="C113">
        <v>-183.86673715465076</v>
      </c>
    </row>
    <row r="114" spans="1:3">
      <c r="A114">
        <v>82</v>
      </c>
      <c r="B114">
        <v>27360.921588830468</v>
      </c>
      <c r="C114">
        <v>-3460.921588830468</v>
      </c>
    </row>
    <row r="115" spans="1:3">
      <c r="A115">
        <v>83</v>
      </c>
      <c r="B115">
        <v>25150.091847760174</v>
      </c>
      <c r="C115">
        <v>-350.09184776017355</v>
      </c>
    </row>
    <row r="116" spans="1:3">
      <c r="A116">
        <v>84</v>
      </c>
      <c r="B116">
        <v>24667.498660270277</v>
      </c>
      <c r="C116">
        <v>-1767.4986602702775</v>
      </c>
    </row>
    <row r="117" spans="1:3">
      <c r="A117">
        <v>85</v>
      </c>
      <c r="B117">
        <v>24983.807076984715</v>
      </c>
      <c r="C117">
        <v>-1083.8070769847145</v>
      </c>
    </row>
    <row r="118" spans="1:3">
      <c r="A118">
        <v>86</v>
      </c>
      <c r="B118">
        <v>28117.820356709733</v>
      </c>
      <c r="C118">
        <v>-1517.8203567097335</v>
      </c>
    </row>
    <row r="119" spans="1:3">
      <c r="A119">
        <v>87</v>
      </c>
      <c r="B119">
        <v>21393.940716054036</v>
      </c>
      <c r="C119">
        <v>1106.0592839459641</v>
      </c>
    </row>
    <row r="120" spans="1:3">
      <c r="A120">
        <v>88</v>
      </c>
      <c r="B120">
        <v>24713.091536331602</v>
      </c>
      <c r="C120">
        <v>-2513.0915363316017</v>
      </c>
    </row>
    <row r="121" spans="1:3">
      <c r="A121">
        <v>89</v>
      </c>
      <c r="B121">
        <v>31030.929936666493</v>
      </c>
      <c r="C121">
        <v>-7430.9299366664927</v>
      </c>
    </row>
    <row r="122" spans="1:3">
      <c r="A122">
        <v>90</v>
      </c>
      <c r="B122">
        <v>30159.605377805226</v>
      </c>
      <c r="C122">
        <v>-1459.6053778052265</v>
      </c>
    </row>
    <row r="123" spans="1:3">
      <c r="A123">
        <v>91</v>
      </c>
      <c r="B123">
        <v>25525.542909355958</v>
      </c>
      <c r="C123">
        <v>-2925.5429093559578</v>
      </c>
    </row>
    <row r="124" spans="1:3">
      <c r="A124">
        <v>92</v>
      </c>
      <c r="B124">
        <v>26080.656557523493</v>
      </c>
      <c r="C124">
        <v>-4080.6565575234927</v>
      </c>
    </row>
    <row r="125" spans="1:3">
      <c r="A125">
        <v>93</v>
      </c>
      <c r="B125">
        <v>27880.452378124697</v>
      </c>
      <c r="C125">
        <v>-4980.4523781246971</v>
      </c>
    </row>
    <row r="126" spans="1:3">
      <c r="A126">
        <v>94</v>
      </c>
      <c r="B126">
        <v>27126.106486004355</v>
      </c>
      <c r="C126">
        <v>-2126.1064860043552</v>
      </c>
    </row>
    <row r="127" spans="1:3">
      <c r="A127">
        <v>95</v>
      </c>
      <c r="B127">
        <v>26061.323983742212</v>
      </c>
      <c r="C127">
        <v>-5461.3239837422116</v>
      </c>
    </row>
    <row r="128" spans="1:3">
      <c r="A128">
        <v>96</v>
      </c>
      <c r="B128">
        <v>27805.970496945167</v>
      </c>
      <c r="C128">
        <v>594.02950305483319</v>
      </c>
    </row>
    <row r="129" spans="1:3">
      <c r="A129">
        <v>97</v>
      </c>
      <c r="B129">
        <v>23247.274319219894</v>
      </c>
      <c r="C129">
        <v>-1847.2743192198941</v>
      </c>
    </row>
    <row r="130" spans="1:3">
      <c r="A130">
        <v>98</v>
      </c>
      <c r="B130">
        <v>35880.475012954419</v>
      </c>
      <c r="C130">
        <v>2819.5249870455809</v>
      </c>
    </row>
    <row r="131" spans="1:3">
      <c r="A131">
        <v>99</v>
      </c>
      <c r="B131">
        <v>33833.852887584231</v>
      </c>
      <c r="C131">
        <v>9966.1471124157688</v>
      </c>
    </row>
    <row r="132" spans="1:3">
      <c r="A132">
        <v>100</v>
      </c>
      <c r="B132">
        <v>31358.668959809154</v>
      </c>
      <c r="C132">
        <v>1841.3310401908457</v>
      </c>
    </row>
    <row r="133" spans="1:3">
      <c r="A133">
        <v>101</v>
      </c>
      <c r="B133">
        <v>23310.322155061447</v>
      </c>
      <c r="C133">
        <v>4189.6778449385529</v>
      </c>
    </row>
    <row r="134" spans="1:3">
      <c r="A134">
        <v>102</v>
      </c>
      <c r="B134">
        <v>24380.010606650318</v>
      </c>
      <c r="C134">
        <v>2119.9893933496824</v>
      </c>
    </row>
    <row r="135" spans="1:3">
      <c r="A135">
        <v>103</v>
      </c>
      <c r="B135">
        <v>21567.800942087833</v>
      </c>
      <c r="C135">
        <v>-2967.8009420878334</v>
      </c>
    </row>
    <row r="136" spans="1:3">
      <c r="A136">
        <v>104</v>
      </c>
      <c r="B136">
        <v>18872.397457071816</v>
      </c>
      <c r="C136">
        <v>427.60254292818354</v>
      </c>
    </row>
    <row r="137" spans="1:3">
      <c r="A137">
        <v>105</v>
      </c>
      <c r="B137">
        <v>19709.376850220742</v>
      </c>
      <c r="C137">
        <v>390.6231497792578</v>
      </c>
    </row>
    <row r="138" spans="1:3">
      <c r="A138">
        <v>106</v>
      </c>
      <c r="B138">
        <v>15862.505177406358</v>
      </c>
      <c r="C138">
        <v>3637.4948225936423</v>
      </c>
    </row>
    <row r="139" spans="1:3">
      <c r="A139">
        <v>107</v>
      </c>
      <c r="B139">
        <v>14314.584805898166</v>
      </c>
      <c r="C139">
        <v>5185.4151941018335</v>
      </c>
    </row>
    <row r="140" spans="1:3">
      <c r="A140">
        <v>108</v>
      </c>
      <c r="B140">
        <v>17873.073590560827</v>
      </c>
      <c r="C140">
        <v>2526.9264094391729</v>
      </c>
    </row>
    <row r="141" spans="1:3">
      <c r="A141">
        <v>109</v>
      </c>
      <c r="B141">
        <v>21128.583792865011</v>
      </c>
      <c r="C141">
        <v>-1328.5837928650108</v>
      </c>
    </row>
    <row r="142" spans="1:3">
      <c r="A142">
        <v>110</v>
      </c>
      <c r="B142">
        <v>17771.962523823961</v>
      </c>
      <c r="C142">
        <v>1628.0374761760395</v>
      </c>
    </row>
    <row r="143" spans="1:3">
      <c r="A143">
        <v>111</v>
      </c>
      <c r="B143">
        <v>18065.637380656495</v>
      </c>
      <c r="C143">
        <v>3634.3626193435048</v>
      </c>
    </row>
    <row r="144" spans="1:3">
      <c r="A144">
        <v>112</v>
      </c>
      <c r="B144">
        <v>25829.718206544589</v>
      </c>
      <c r="C144">
        <v>-3029.7182065445886</v>
      </c>
    </row>
    <row r="145" spans="1:3">
      <c r="A145">
        <v>113</v>
      </c>
      <c r="B145">
        <v>19205.289471894524</v>
      </c>
      <c r="C145">
        <v>-405.28947189452447</v>
      </c>
    </row>
    <row r="146" spans="1:3">
      <c r="A146">
        <v>114</v>
      </c>
      <c r="B146">
        <v>19525.547015566146</v>
      </c>
      <c r="C146">
        <v>-825.547015566146</v>
      </c>
    </row>
    <row r="147" spans="1:3">
      <c r="A147">
        <v>115</v>
      </c>
      <c r="B147">
        <v>23468.834265236997</v>
      </c>
      <c r="C147">
        <v>-4968.8342652369975</v>
      </c>
    </row>
    <row r="148" spans="1:3">
      <c r="A148">
        <v>116</v>
      </c>
      <c r="B148">
        <v>19182.962477074852</v>
      </c>
      <c r="C148">
        <v>-882.96247707485236</v>
      </c>
    </row>
    <row r="149" spans="1:3">
      <c r="A149">
        <v>117</v>
      </c>
      <c r="B149">
        <v>21880.0403396164</v>
      </c>
      <c r="C149">
        <v>-680.04033961640016</v>
      </c>
    </row>
    <row r="150" spans="1:3">
      <c r="A150">
        <v>118</v>
      </c>
      <c r="B150">
        <v>22556.080021154332</v>
      </c>
      <c r="C150">
        <v>-3356.0800211543319</v>
      </c>
    </row>
    <row r="151" spans="1:3">
      <c r="A151">
        <v>119</v>
      </c>
      <c r="B151">
        <v>18828.666768297575</v>
      </c>
      <c r="C151">
        <v>1571.3332317024251</v>
      </c>
    </row>
    <row r="152" spans="1:3">
      <c r="A152">
        <v>120</v>
      </c>
      <c r="B152">
        <v>18808.211175034565</v>
      </c>
      <c r="C152">
        <v>491.7888249654352</v>
      </c>
    </row>
    <row r="153" spans="1:3">
      <c r="A153">
        <v>121</v>
      </c>
      <c r="B153">
        <v>21774.089038056307</v>
      </c>
      <c r="C153">
        <v>225.91096194369311</v>
      </c>
    </row>
    <row r="154" spans="1:3">
      <c r="A154">
        <v>122</v>
      </c>
      <c r="B154">
        <v>23203.735405456278</v>
      </c>
      <c r="C154">
        <v>-2903.7354054562784</v>
      </c>
    </row>
    <row r="155" spans="1:3">
      <c r="A155">
        <v>123</v>
      </c>
      <c r="B155">
        <v>21105.647097655485</v>
      </c>
      <c r="C155">
        <v>-605.64709765548469</v>
      </c>
    </row>
    <row r="156" spans="1:3">
      <c r="A156">
        <v>124</v>
      </c>
      <c r="B156">
        <v>15906.742940575956</v>
      </c>
      <c r="C156">
        <v>1393.2570594240442</v>
      </c>
    </row>
    <row r="157" spans="1:3">
      <c r="A157">
        <v>125</v>
      </c>
      <c r="B157">
        <v>20804.823350533676</v>
      </c>
      <c r="C157">
        <v>-2004.8233505336757</v>
      </c>
    </row>
    <row r="158" spans="1:3">
      <c r="A158">
        <v>126</v>
      </c>
      <c r="B158">
        <v>22888.304725994414</v>
      </c>
      <c r="C158">
        <v>-1488.3047259944142</v>
      </c>
    </row>
    <row r="159" spans="1:3">
      <c r="A159">
        <v>127</v>
      </c>
      <c r="B159">
        <v>13906.684826968416</v>
      </c>
      <c r="C159">
        <v>1793.315173031584</v>
      </c>
    </row>
    <row r="160" spans="1:3">
      <c r="A160">
        <v>128</v>
      </c>
      <c r="B160">
        <v>14246.880662047428</v>
      </c>
      <c r="C160">
        <v>1953.1193379525721</v>
      </c>
    </row>
    <row r="161" spans="1:3">
      <c r="A161">
        <v>129</v>
      </c>
      <c r="B161">
        <v>18295.814371790766</v>
      </c>
      <c r="C161">
        <v>-295.81437179076602</v>
      </c>
    </row>
    <row r="162" spans="1:3">
      <c r="A162">
        <v>130</v>
      </c>
      <c r="B162">
        <v>13047.153242269223</v>
      </c>
      <c r="C162">
        <v>1252.8467577307765</v>
      </c>
    </row>
    <row r="163" spans="1:3">
      <c r="A163">
        <v>131</v>
      </c>
      <c r="B163">
        <v>20209.621483994619</v>
      </c>
      <c r="C163">
        <v>-1009.6214839946188</v>
      </c>
    </row>
    <row r="164" spans="1:3">
      <c r="A164">
        <v>132</v>
      </c>
      <c r="B164">
        <v>19746.335093643767</v>
      </c>
      <c r="C164">
        <v>-146.33509364376732</v>
      </c>
    </row>
    <row r="165" spans="1:3">
      <c r="A165">
        <v>133</v>
      </c>
      <c r="B165">
        <v>20846.735558643275</v>
      </c>
      <c r="C165">
        <v>2153.264441356725</v>
      </c>
    </row>
    <row r="166" spans="1:3">
      <c r="A166">
        <v>134</v>
      </c>
      <c r="B166">
        <v>15714.526792107741</v>
      </c>
      <c r="C166">
        <v>2685.4732078922589</v>
      </c>
    </row>
    <row r="167" spans="1:3">
      <c r="A167">
        <v>135</v>
      </c>
      <c r="B167">
        <v>14430.965557562933</v>
      </c>
      <c r="C167">
        <v>1169.0344424370669</v>
      </c>
    </row>
    <row r="168" spans="1:3">
      <c r="A168">
        <v>136</v>
      </c>
      <c r="B168">
        <v>16771.260802436183</v>
      </c>
      <c r="C168">
        <v>1328.7391975638166</v>
      </c>
    </row>
    <row r="169" spans="1:3">
      <c r="A169">
        <v>137</v>
      </c>
      <c r="B169">
        <v>15507.44110614216</v>
      </c>
      <c r="C169">
        <v>1892.5588938578403</v>
      </c>
    </row>
    <row r="170" spans="1:3">
      <c r="A170">
        <v>138</v>
      </c>
      <c r="B170">
        <v>18925.33925442705</v>
      </c>
      <c r="C170">
        <v>-1825.33925442705</v>
      </c>
    </row>
    <row r="171" spans="1:3">
      <c r="A171">
        <v>139</v>
      </c>
      <c r="B171">
        <v>12181.370763574299</v>
      </c>
      <c r="C171">
        <v>1118.6292364257006</v>
      </c>
    </row>
    <row r="172" spans="1:3">
      <c r="A172">
        <v>140</v>
      </c>
      <c r="B172">
        <v>15213.853569389445</v>
      </c>
      <c r="C172">
        <v>2586.1464306105554</v>
      </c>
    </row>
    <row r="173" spans="1:3">
      <c r="A173">
        <v>141</v>
      </c>
      <c r="B173">
        <v>12032.638722439717</v>
      </c>
      <c r="C173">
        <v>1967.3612775602833</v>
      </c>
    </row>
    <row r="174" spans="1:3">
      <c r="A174">
        <v>142</v>
      </c>
      <c r="B174">
        <v>1039.830956674472</v>
      </c>
      <c r="C174">
        <v>13360.169043325528</v>
      </c>
    </row>
    <row r="175" spans="1:3">
      <c r="A175">
        <v>143</v>
      </c>
      <c r="B175">
        <v>12083.581209184184</v>
      </c>
      <c r="C175">
        <v>1316.4187908158165</v>
      </c>
    </row>
    <row r="176" spans="1:3">
      <c r="A176">
        <v>144</v>
      </c>
      <c r="B176">
        <v>12430.570692384197</v>
      </c>
      <c r="C176">
        <v>3169.4293076158028</v>
      </c>
    </row>
    <row r="177" spans="1:3">
      <c r="A177">
        <v>145</v>
      </c>
      <c r="B177">
        <v>8325.3270509001995</v>
      </c>
      <c r="C177">
        <v>3474.6729490998005</v>
      </c>
    </row>
    <row r="178" spans="1:3">
      <c r="A178">
        <v>146</v>
      </c>
      <c r="B178">
        <v>14442.171504080514</v>
      </c>
      <c r="C178">
        <v>-642.17150408051384</v>
      </c>
    </row>
    <row r="179" spans="1:3">
      <c r="A179">
        <v>147</v>
      </c>
      <c r="B179">
        <v>19461.321552207181</v>
      </c>
      <c r="C179">
        <v>-3861.3215522071805</v>
      </c>
    </row>
    <row r="180" spans="1:3">
      <c r="A180">
        <v>148</v>
      </c>
      <c r="B180">
        <v>8582.6757125051336</v>
      </c>
      <c r="C180">
        <v>6017.3242874948664</v>
      </c>
    </row>
    <row r="181" spans="1:3">
      <c r="A181">
        <v>149</v>
      </c>
      <c r="B181">
        <v>10127.564518157014</v>
      </c>
      <c r="C181">
        <v>7672.4354818429856</v>
      </c>
    </row>
    <row r="182" spans="1:3">
      <c r="A182">
        <v>150</v>
      </c>
      <c r="B182">
        <v>15917.961793313227</v>
      </c>
      <c r="C182">
        <v>-517.96179331322674</v>
      </c>
    </row>
    <row r="183" spans="1:3">
      <c r="A183">
        <v>151</v>
      </c>
      <c r="B183">
        <v>22912.267722420562</v>
      </c>
      <c r="C183">
        <v>-1412.2677224205618</v>
      </c>
    </row>
    <row r="184" spans="1:3">
      <c r="A184">
        <v>152</v>
      </c>
      <c r="B184">
        <v>20541.975721953509</v>
      </c>
      <c r="C184">
        <v>-941.97572195350949</v>
      </c>
    </row>
    <row r="185" spans="1:3">
      <c r="A185">
        <v>153</v>
      </c>
      <c r="B185">
        <v>18931.392637514593</v>
      </c>
      <c r="C185">
        <v>-3631.3926375145929</v>
      </c>
    </row>
    <row r="186" spans="1:3">
      <c r="A186">
        <v>154</v>
      </c>
      <c r="B186">
        <v>20261.128001891266</v>
      </c>
      <c r="C186">
        <v>-861.12800189126574</v>
      </c>
    </row>
    <row r="187" spans="1:3">
      <c r="A187">
        <v>155</v>
      </c>
      <c r="B187">
        <v>21873.906076175059</v>
      </c>
      <c r="C187">
        <v>-4873.9060761750588</v>
      </c>
    </row>
    <row r="188" spans="1:3">
      <c r="A188">
        <v>156</v>
      </c>
      <c r="B188">
        <v>21565.239149741421</v>
      </c>
      <c r="C188">
        <v>-5965.239149741421</v>
      </c>
    </row>
    <row r="189" spans="1:3">
      <c r="A189">
        <v>157</v>
      </c>
      <c r="B189">
        <v>18062.629926350382</v>
      </c>
      <c r="C189">
        <v>-4962.6299263503824</v>
      </c>
    </row>
    <row r="190" spans="1:3">
      <c r="A190">
        <v>158</v>
      </c>
      <c r="B190">
        <v>34718.784859732732</v>
      </c>
      <c r="C190">
        <v>6581.215140267268</v>
      </c>
    </row>
    <row r="191" spans="1:3">
      <c r="A191">
        <v>159</v>
      </c>
      <c r="B191">
        <v>29912.37870170904</v>
      </c>
      <c r="C191">
        <v>-5612.3787017090399</v>
      </c>
    </row>
    <row r="192" spans="1:3">
      <c r="A192">
        <v>160</v>
      </c>
      <c r="B192">
        <v>28425.400885324485</v>
      </c>
      <c r="C192">
        <v>-5125.400885324485</v>
      </c>
    </row>
    <row r="193" spans="1:3">
      <c r="A193">
        <v>161</v>
      </c>
      <c r="B193">
        <v>31194.404178638666</v>
      </c>
      <c r="C193">
        <v>-4194.4041786386661</v>
      </c>
    </row>
    <row r="194" spans="1:3">
      <c r="A194">
        <v>162</v>
      </c>
      <c r="B194">
        <v>38210.813528043334</v>
      </c>
      <c r="C194">
        <v>11789.186471956666</v>
      </c>
    </row>
    <row r="195" spans="1:3">
      <c r="A195">
        <v>163</v>
      </c>
      <c r="B195">
        <v>39927.003557349737</v>
      </c>
      <c r="C195">
        <v>10072.996442650263</v>
      </c>
    </row>
    <row r="196" spans="1:3">
      <c r="A196">
        <v>164</v>
      </c>
      <c r="B196">
        <v>40937.123572893375</v>
      </c>
      <c r="C196">
        <v>9062.8764271066248</v>
      </c>
    </row>
    <row r="197" spans="1:3">
      <c r="A197">
        <v>165</v>
      </c>
      <c r="B197">
        <v>25421.961541244222</v>
      </c>
      <c r="C197">
        <v>-2721.9615412442217</v>
      </c>
    </row>
    <row r="198" spans="1:3">
      <c r="A198">
        <v>166</v>
      </c>
      <c r="B198">
        <v>27861.017498709596</v>
      </c>
      <c r="C198">
        <v>-2861.0174987095961</v>
      </c>
    </row>
    <row r="199" spans="1:3">
      <c r="A199">
        <v>167</v>
      </c>
      <c r="B199">
        <v>38955.764482952953</v>
      </c>
      <c r="C199">
        <v>11044.235517047047</v>
      </c>
    </row>
    <row r="200" spans="1:3">
      <c r="A200">
        <v>168</v>
      </c>
      <c r="B200">
        <v>24832.138622108621</v>
      </c>
      <c r="C200">
        <v>-1032.1386221086213</v>
      </c>
    </row>
    <row r="201" spans="1:3">
      <c r="A201">
        <v>169</v>
      </c>
      <c r="B201">
        <v>28078.809930047308</v>
      </c>
      <c r="C201">
        <v>-4278.8099300473077</v>
      </c>
    </row>
    <row r="202" spans="1:3">
      <c r="A202">
        <v>170</v>
      </c>
      <c r="B202">
        <v>27970.025926394461</v>
      </c>
      <c r="C202">
        <v>-5670.0259263944608</v>
      </c>
    </row>
    <row r="203" spans="1:3">
      <c r="A203">
        <v>171</v>
      </c>
      <c r="B203">
        <v>24125.714874639605</v>
      </c>
      <c r="C203">
        <v>-6725.7148746396051</v>
      </c>
    </row>
    <row r="204" spans="1:3">
      <c r="A204">
        <v>172</v>
      </c>
      <c r="B204">
        <v>25795.537065982007</v>
      </c>
      <c r="C204">
        <v>-6695.5370659820073</v>
      </c>
    </row>
    <row r="205" spans="1:3">
      <c r="A205">
        <v>173</v>
      </c>
      <c r="B205">
        <v>20754.511017738449</v>
      </c>
      <c r="C205">
        <v>2345.4889822615514</v>
      </c>
    </row>
    <row r="206" spans="1:3">
      <c r="A206">
        <v>174</v>
      </c>
      <c r="B206">
        <v>27659.21265815233</v>
      </c>
      <c r="C206">
        <v>-4059.2126581523298</v>
      </c>
    </row>
    <row r="207" spans="1:3">
      <c r="A207">
        <v>175</v>
      </c>
      <c r="B207">
        <v>24346.201657185022</v>
      </c>
      <c r="C207">
        <v>-1746.2016571850218</v>
      </c>
    </row>
    <row r="208" spans="1:3">
      <c r="A208">
        <v>176</v>
      </c>
      <c r="B208">
        <v>28753.128272321243</v>
      </c>
      <c r="C208">
        <v>646.87172767875745</v>
      </c>
    </row>
    <row r="209" spans="1:3">
      <c r="A209">
        <v>177</v>
      </c>
      <c r="B209">
        <v>24166.629391881434</v>
      </c>
      <c r="C209">
        <v>-966.62939188143355</v>
      </c>
    </row>
    <row r="210" spans="1:3">
      <c r="A210">
        <v>178</v>
      </c>
      <c r="B210">
        <v>28677.263631739232</v>
      </c>
      <c r="C210">
        <v>-4077.2636317392316</v>
      </c>
    </row>
    <row r="211" spans="1:3">
      <c r="A211">
        <v>179</v>
      </c>
      <c r="B211">
        <v>30458.886351542948</v>
      </c>
      <c r="C211">
        <v>-558.88635154294752</v>
      </c>
    </row>
    <row r="212" spans="1:3">
      <c r="A212">
        <v>180</v>
      </c>
      <c r="B212">
        <v>31476.130152691323</v>
      </c>
      <c r="C212">
        <v>5723.869847308677</v>
      </c>
    </row>
    <row r="213" spans="1:3">
      <c r="A213">
        <v>181</v>
      </c>
      <c r="B213">
        <v>33685.165472389323</v>
      </c>
      <c r="C213">
        <v>6114.8345276106775</v>
      </c>
    </row>
    <row r="214" spans="1:3">
      <c r="A214">
        <v>182</v>
      </c>
      <c r="B214">
        <v>25189.597989228907</v>
      </c>
      <c r="C214">
        <v>11010.402010771093</v>
      </c>
    </row>
    <row r="215" spans="1:3">
      <c r="A215">
        <v>183</v>
      </c>
      <c r="B215">
        <v>33340.913441525539</v>
      </c>
      <c r="C215">
        <v>4559.0865584744606</v>
      </c>
    </row>
    <row r="216" spans="1:3">
      <c r="A216">
        <v>184</v>
      </c>
      <c r="B216">
        <v>30359.739603104797</v>
      </c>
      <c r="C216">
        <v>2140.2603968952026</v>
      </c>
    </row>
    <row r="217" spans="1:3">
      <c r="A217">
        <v>185</v>
      </c>
      <c r="B217">
        <v>21300.608816593114</v>
      </c>
      <c r="C217">
        <v>5099.3911834068858</v>
      </c>
    </row>
    <row r="218" spans="1:3">
      <c r="A218">
        <v>186</v>
      </c>
      <c r="B218">
        <v>23451.239335556984</v>
      </c>
      <c r="C218">
        <v>6148.7606644430161</v>
      </c>
    </row>
    <row r="219" spans="1:3">
      <c r="A219">
        <v>187</v>
      </c>
      <c r="B219">
        <v>35142.522427068609</v>
      </c>
      <c r="C219">
        <v>14857.477572931391</v>
      </c>
    </row>
    <row r="220" spans="1:3">
      <c r="A220">
        <v>188</v>
      </c>
      <c r="B220">
        <v>29745.472046506249</v>
      </c>
      <c r="C220">
        <v>2254.5279534937508</v>
      </c>
    </row>
    <row r="221" spans="1:3">
      <c r="A221">
        <v>189</v>
      </c>
      <c r="B221">
        <v>29857.103860144813</v>
      </c>
      <c r="C221">
        <v>-57.103860144812643</v>
      </c>
    </row>
    <row r="222" spans="1:3">
      <c r="A222">
        <v>190</v>
      </c>
      <c r="B222">
        <v>32525.431776221292</v>
      </c>
      <c r="C222">
        <v>2374.5682237787078</v>
      </c>
    </row>
    <row r="223" spans="1:3">
      <c r="A223">
        <v>191</v>
      </c>
      <c r="B223">
        <v>30746.522687104869</v>
      </c>
      <c r="C223">
        <v>6253.477312895131</v>
      </c>
    </row>
    <row r="224" spans="1:3">
      <c r="A224">
        <v>192</v>
      </c>
      <c r="B224">
        <v>30438.614378856382</v>
      </c>
      <c r="C224">
        <v>61.385621143617755</v>
      </c>
    </row>
    <row r="225" spans="1:3">
      <c r="A225">
        <v>193</v>
      </c>
      <c r="B225">
        <v>33293.19850604159</v>
      </c>
      <c r="C225">
        <v>3106.80149395841</v>
      </c>
    </row>
    <row r="226" spans="1:3">
      <c r="A226">
        <v>194</v>
      </c>
      <c r="B226">
        <v>30835.198410487668</v>
      </c>
      <c r="C226">
        <v>264.8015895123317</v>
      </c>
    </row>
    <row r="227" spans="1:3">
      <c r="A227">
        <v>195</v>
      </c>
      <c r="B227">
        <v>30459.820387683863</v>
      </c>
      <c r="C227">
        <v>-1359.8203876838634</v>
      </c>
    </row>
    <row r="228" spans="1:3">
      <c r="A228">
        <v>196</v>
      </c>
      <c r="B228">
        <v>39088.854829357457</v>
      </c>
      <c r="C228">
        <v>10911.145170642543</v>
      </c>
    </row>
    <row r="229" spans="1:3">
      <c r="A229">
        <v>197</v>
      </c>
      <c r="B229">
        <v>36534.223042350255</v>
      </c>
      <c r="C229">
        <v>-3234.2230423502551</v>
      </c>
    </row>
    <row r="230" spans="1:3">
      <c r="A230">
        <v>198</v>
      </c>
      <c r="B230">
        <v>33154.511802640758</v>
      </c>
      <c r="C230">
        <v>-2854.5118026407581</v>
      </c>
    </row>
    <row r="231" spans="1:3">
      <c r="A231">
        <v>199</v>
      </c>
      <c r="B231">
        <v>35278.98136038614</v>
      </c>
      <c r="C231">
        <v>-678.9813603861403</v>
      </c>
    </row>
    <row r="232" spans="1:3">
      <c r="A232">
        <v>200</v>
      </c>
      <c r="B232">
        <v>28680.987761129098</v>
      </c>
      <c r="C232">
        <v>6219.0122388709024</v>
      </c>
    </row>
    <row r="233" spans="1:3">
      <c r="A233">
        <v>201</v>
      </c>
      <c r="B233">
        <v>29218.079329197004</v>
      </c>
      <c r="C233">
        <v>3681.920670802996</v>
      </c>
    </row>
    <row r="234" spans="1:3">
      <c r="A234">
        <v>202</v>
      </c>
      <c r="B234">
        <v>27223.779868111211</v>
      </c>
      <c r="C234">
        <v>-3123.7798681112108</v>
      </c>
    </row>
    <row r="235" spans="1:3">
      <c r="A235">
        <v>203</v>
      </c>
      <c r="B235">
        <v>35440.67476461253</v>
      </c>
      <c r="C235">
        <v>6859.3252353874705</v>
      </c>
    </row>
    <row r="236" spans="1:3">
      <c r="A236">
        <v>204</v>
      </c>
      <c r="B236">
        <v>38633.910137404688</v>
      </c>
      <c r="C236">
        <v>9866.0898625953123</v>
      </c>
    </row>
    <row r="237" spans="1:3">
      <c r="A237">
        <v>205</v>
      </c>
      <c r="B237">
        <v>40227.798968754134</v>
      </c>
      <c r="C237">
        <v>9772.201031245866</v>
      </c>
    </row>
    <row r="238" spans="1:3">
      <c r="A238">
        <v>206</v>
      </c>
      <c r="B238">
        <v>21549.030800292221</v>
      </c>
      <c r="C238">
        <v>1050.9691997077789</v>
      </c>
    </row>
    <row r="239" spans="1:3">
      <c r="A239">
        <v>207</v>
      </c>
      <c r="B239">
        <v>23835.277451669324</v>
      </c>
      <c r="C239">
        <v>564.72254833067564</v>
      </c>
    </row>
    <row r="240" spans="1:3">
      <c r="A240">
        <v>208</v>
      </c>
      <c r="B240">
        <v>18215.753088707716</v>
      </c>
      <c r="C240">
        <v>4284.2469112922845</v>
      </c>
    </row>
    <row r="241" spans="1:3">
      <c r="A241">
        <v>209</v>
      </c>
      <c r="B241">
        <v>21212.051987027404</v>
      </c>
      <c r="C241">
        <v>3187.9480129725962</v>
      </c>
    </row>
    <row r="242" spans="1:3">
      <c r="A242">
        <v>210</v>
      </c>
      <c r="B242">
        <v>14490.6695440693</v>
      </c>
      <c r="C242">
        <v>5509.3304559306998</v>
      </c>
    </row>
    <row r="243" spans="1:3">
      <c r="A243">
        <v>211</v>
      </c>
      <c r="B243">
        <v>20313.746384876737</v>
      </c>
      <c r="C243">
        <v>1386.2536151232634</v>
      </c>
    </row>
    <row r="244" spans="1:3">
      <c r="A244">
        <v>212</v>
      </c>
      <c r="B244">
        <v>13374.035012542103</v>
      </c>
      <c r="C244">
        <v>5925.9649874578972</v>
      </c>
    </row>
    <row r="245" spans="1:3">
      <c r="A245">
        <v>213</v>
      </c>
      <c r="B245">
        <v>19161.823042672244</v>
      </c>
      <c r="C245">
        <v>3238.1769573277561</v>
      </c>
    </row>
    <row r="246" spans="1:3">
      <c r="A246">
        <v>214</v>
      </c>
      <c r="B246">
        <v>24550.050342662256</v>
      </c>
      <c r="C246">
        <v>3549.9496573377437</v>
      </c>
    </row>
    <row r="247" spans="1:3">
      <c r="A247">
        <v>215</v>
      </c>
      <c r="B247">
        <v>7634.8827162542548</v>
      </c>
      <c r="C247">
        <v>16065.117283745745</v>
      </c>
    </row>
    <row r="248" spans="1:3">
      <c r="A248">
        <v>216</v>
      </c>
      <c r="B248">
        <v>23996.005084954242</v>
      </c>
      <c r="C248">
        <v>1003.9949150457578</v>
      </c>
    </row>
    <row r="249" spans="1:3">
      <c r="A249">
        <v>217</v>
      </c>
      <c r="B249">
        <v>23513.494877699581</v>
      </c>
      <c r="C249">
        <v>-213.49487769958068</v>
      </c>
    </row>
    <row r="250" spans="1:3">
      <c r="A250">
        <v>218</v>
      </c>
      <c r="B250">
        <v>29813.449257648866</v>
      </c>
      <c r="C250">
        <v>-1113.4492576488665</v>
      </c>
    </row>
    <row r="251" spans="1:3">
      <c r="A251">
        <v>219</v>
      </c>
      <c r="B251">
        <v>21892.806882353656</v>
      </c>
      <c r="C251">
        <v>-392.80688235365596</v>
      </c>
    </row>
    <row r="252" spans="1:3">
      <c r="A252">
        <v>220</v>
      </c>
      <c r="B252">
        <v>28290.165372510892</v>
      </c>
      <c r="C252">
        <v>-5290.1653725108918</v>
      </c>
    </row>
    <row r="253" spans="1:3">
      <c r="A253">
        <v>221</v>
      </c>
      <c r="B253">
        <v>29536.491531207532</v>
      </c>
      <c r="C253">
        <v>-2836.4915312075318</v>
      </c>
    </row>
    <row r="254" spans="1:3">
      <c r="A254">
        <v>222</v>
      </c>
      <c r="B254">
        <v>19502.942872697524</v>
      </c>
      <c r="C254">
        <v>2197.0571273024761</v>
      </c>
    </row>
    <row r="255" spans="1:3">
      <c r="A255">
        <v>223</v>
      </c>
      <c r="B255">
        <v>29210.435685952507</v>
      </c>
      <c r="C255">
        <v>-1710.4356859525069</v>
      </c>
    </row>
    <row r="256" spans="1:3">
      <c r="A256">
        <v>224</v>
      </c>
      <c r="B256">
        <v>29439.123657011645</v>
      </c>
      <c r="C256">
        <v>660.87634298835474</v>
      </c>
    </row>
    <row r="257" spans="1:3">
      <c r="A257">
        <v>225</v>
      </c>
      <c r="B257">
        <v>38224.215344588636</v>
      </c>
      <c r="C257">
        <v>6575.7846554113639</v>
      </c>
    </row>
    <row r="258" spans="1:3">
      <c r="A258">
        <v>226</v>
      </c>
      <c r="B258">
        <v>39757.233844154034</v>
      </c>
      <c r="C258">
        <v>10242.766155845966</v>
      </c>
    </row>
    <row r="259" spans="1:3">
      <c r="A259">
        <v>227</v>
      </c>
      <c r="B259">
        <v>38132.459724021784</v>
      </c>
      <c r="C259">
        <v>-532.4597240217845</v>
      </c>
    </row>
    <row r="260" spans="1:3">
      <c r="A260">
        <v>228</v>
      </c>
      <c r="B260">
        <v>32369.462217914021</v>
      </c>
      <c r="C260">
        <v>-769.46221791402058</v>
      </c>
    </row>
    <row r="261" spans="1:3">
      <c r="A261">
        <v>229</v>
      </c>
      <c r="B261">
        <v>33824.52176667811</v>
      </c>
      <c r="C261">
        <v>12875.47823332189</v>
      </c>
    </row>
    <row r="262" spans="1:3">
      <c r="A262">
        <v>230</v>
      </c>
      <c r="B262">
        <v>29613.340689990662</v>
      </c>
      <c r="C262">
        <v>1886.6593100093378</v>
      </c>
    </row>
    <row r="263" spans="1:3">
      <c r="A263">
        <v>231</v>
      </c>
      <c r="B263">
        <v>24165.954520744192</v>
      </c>
      <c r="C263">
        <v>134.04547925580846</v>
      </c>
    </row>
    <row r="264" spans="1:3">
      <c r="A264">
        <v>232</v>
      </c>
      <c r="B264">
        <v>33997.01315736898</v>
      </c>
      <c r="C264">
        <v>-2297.0131573689796</v>
      </c>
    </row>
    <row r="265" spans="1:3">
      <c r="A265">
        <v>233</v>
      </c>
      <c r="B265">
        <v>39468.289389439371</v>
      </c>
      <c r="C265">
        <v>2231.710610560629</v>
      </c>
    </row>
    <row r="266" spans="1:3">
      <c r="A266">
        <v>234</v>
      </c>
      <c r="B266">
        <v>37967.545016257405</v>
      </c>
      <c r="C266">
        <v>10332.454983742595</v>
      </c>
    </row>
    <row r="267" spans="1:3">
      <c r="A267">
        <v>235</v>
      </c>
      <c r="B267">
        <v>28953.064883857511</v>
      </c>
      <c r="C267">
        <v>46.935116142489278</v>
      </c>
    </row>
    <row r="268" spans="1:3">
      <c r="A268">
        <v>236</v>
      </c>
      <c r="B268">
        <v>24730.329414463755</v>
      </c>
      <c r="C268">
        <v>-730.3294144637548</v>
      </c>
    </row>
    <row r="269" spans="1:3">
      <c r="A269">
        <v>237</v>
      </c>
      <c r="B269">
        <v>28231.735019387575</v>
      </c>
      <c r="C269">
        <v>-3131.7350193875754</v>
      </c>
    </row>
    <row r="270" spans="1:3">
      <c r="A270">
        <v>238</v>
      </c>
      <c r="B270">
        <v>34000.511564860171</v>
      </c>
      <c r="C270">
        <v>-2500.5115648601713</v>
      </c>
    </row>
    <row r="271" spans="1:3">
      <c r="A271">
        <v>239</v>
      </c>
      <c r="B271">
        <v>28687.829478702581</v>
      </c>
      <c r="C271">
        <v>-4987.8294787025807</v>
      </c>
    </row>
    <row r="272" spans="1:3">
      <c r="A272">
        <v>240</v>
      </c>
      <c r="B272">
        <v>29187.50565568071</v>
      </c>
      <c r="C272">
        <v>-5887.5056556807103</v>
      </c>
    </row>
    <row r="273" spans="1:3">
      <c r="A273">
        <v>241</v>
      </c>
      <c r="B273">
        <v>28589.096579781228</v>
      </c>
      <c r="C273">
        <v>-6589.0965797812278</v>
      </c>
    </row>
    <row r="274" spans="1:3">
      <c r="A274">
        <v>242</v>
      </c>
      <c r="B274">
        <v>25035.668865554682</v>
      </c>
      <c r="C274">
        <v>-4935.6688655546823</v>
      </c>
    </row>
    <row r="275" spans="1:3">
      <c r="A275">
        <v>243</v>
      </c>
      <c r="B275">
        <v>26283.212344485633</v>
      </c>
      <c r="C275">
        <v>-4083.2123444856334</v>
      </c>
    </row>
    <row r="276" spans="1:3">
      <c r="A276">
        <v>244</v>
      </c>
      <c r="B276">
        <v>28635.307266725162</v>
      </c>
      <c r="C276">
        <v>-4935.3072667251618</v>
      </c>
    </row>
    <row r="277" spans="1:3">
      <c r="A277">
        <v>245</v>
      </c>
      <c r="B277">
        <v>20325.019502870677</v>
      </c>
      <c r="C277">
        <v>-2725.0195028706767</v>
      </c>
    </row>
    <row r="278" spans="1:3">
      <c r="A278">
        <v>246</v>
      </c>
      <c r="B278">
        <v>16666.010809278385</v>
      </c>
      <c r="C278">
        <v>1833.9891907216152</v>
      </c>
    </row>
    <row r="279" spans="1:3">
      <c r="A279">
        <v>247</v>
      </c>
      <c r="B279">
        <v>23135.219588395095</v>
      </c>
      <c r="C279">
        <v>1164.7804116049047</v>
      </c>
    </row>
    <row r="280" spans="1:3">
      <c r="A280">
        <v>248</v>
      </c>
      <c r="B280">
        <v>24382.931235983313</v>
      </c>
      <c r="C280">
        <v>-3882.9312359833129</v>
      </c>
    </row>
    <row r="281" spans="1:3">
      <c r="A281">
        <v>249</v>
      </c>
      <c r="B281">
        <v>24538.255755823309</v>
      </c>
      <c r="C281">
        <v>-38.2557558233093</v>
      </c>
    </row>
    <row r="282" spans="1:3">
      <c r="A282">
        <v>250</v>
      </c>
      <c r="B282">
        <v>26577.528127102232</v>
      </c>
      <c r="C282">
        <v>-377.52812710223225</v>
      </c>
    </row>
    <row r="283" spans="1:3">
      <c r="A283">
        <v>251</v>
      </c>
      <c r="B283">
        <v>26194.783708279203</v>
      </c>
      <c r="C283">
        <v>-1794.783708279203</v>
      </c>
    </row>
    <row r="284" spans="1:3">
      <c r="A284">
        <v>252</v>
      </c>
      <c r="B284">
        <v>27174.838571017586</v>
      </c>
      <c r="C284">
        <v>-2374.8385710175862</v>
      </c>
    </row>
    <row r="285" spans="1:3">
      <c r="A285">
        <v>253</v>
      </c>
      <c r="B285">
        <v>29280.589781862836</v>
      </c>
      <c r="C285">
        <v>319.41021813716361</v>
      </c>
    </row>
    <row r="286" spans="1:3">
      <c r="A286">
        <v>254</v>
      </c>
      <c r="B286">
        <v>34747.953099823666</v>
      </c>
      <c r="C286">
        <v>8052.046900176334</v>
      </c>
    </row>
    <row r="287" spans="1:3">
      <c r="A287">
        <v>255</v>
      </c>
      <c r="B287">
        <v>26365.217087267669</v>
      </c>
      <c r="C287">
        <v>-4465.2170872676688</v>
      </c>
    </row>
    <row r="288" spans="1:3">
      <c r="A288">
        <v>256</v>
      </c>
      <c r="B288">
        <v>23177.864721021138</v>
      </c>
      <c r="C288">
        <v>-2277.8647210211384</v>
      </c>
    </row>
    <row r="289" spans="1:3">
      <c r="A289">
        <v>257</v>
      </c>
      <c r="B289">
        <v>36046.794707127134</v>
      </c>
      <c r="C289">
        <v>7953.2052928728663</v>
      </c>
    </row>
    <row r="290" spans="1:3">
      <c r="A290">
        <v>258</v>
      </c>
      <c r="B290">
        <v>42508.785677450971</v>
      </c>
      <c r="C290">
        <v>7491.214322549029</v>
      </c>
    </row>
    <row r="291" spans="1:3">
      <c r="A291">
        <v>259</v>
      </c>
      <c r="B291">
        <v>35440.216877681451</v>
      </c>
      <c r="C291">
        <v>559.78312231854943</v>
      </c>
    </row>
    <row r="292" spans="1:3">
      <c r="A292">
        <v>260</v>
      </c>
      <c r="B292">
        <v>34190.194509750683</v>
      </c>
      <c r="C292">
        <v>-4090.1945097506832</v>
      </c>
    </row>
    <row r="293" spans="1:3">
      <c r="A293">
        <v>261</v>
      </c>
      <c r="B293">
        <v>33551.024586378844</v>
      </c>
      <c r="C293">
        <v>248.97541362115589</v>
      </c>
    </row>
    <row r="294" spans="1:3">
      <c r="A294">
        <v>262</v>
      </c>
      <c r="B294">
        <v>36248.045480006811</v>
      </c>
      <c r="C294">
        <v>6851.954519993189</v>
      </c>
    </row>
    <row r="295" spans="1:3">
      <c r="A295">
        <v>263</v>
      </c>
      <c r="B295">
        <v>40870.4810200465</v>
      </c>
      <c r="C295">
        <v>7929.5189799535001</v>
      </c>
    </row>
    <row r="296" spans="1:3">
      <c r="A296">
        <v>264</v>
      </c>
      <c r="B296">
        <v>33307.282417827773</v>
      </c>
      <c r="C296">
        <v>-2307.2824178277733</v>
      </c>
    </row>
    <row r="297" spans="1:3">
      <c r="A297">
        <v>265</v>
      </c>
      <c r="B297">
        <v>34816.687647606333</v>
      </c>
      <c r="C297">
        <v>1683.3123523936665</v>
      </c>
    </row>
    <row r="298" spans="1:3">
      <c r="A298">
        <v>266</v>
      </c>
      <c r="B298">
        <v>25592.632514323028</v>
      </c>
      <c r="C298">
        <v>-2792.6325143230279</v>
      </c>
    </row>
    <row r="299" spans="1:3">
      <c r="A299">
        <v>267</v>
      </c>
      <c r="B299">
        <v>29566.880418233581</v>
      </c>
      <c r="C299">
        <v>1133.1195817664193</v>
      </c>
    </row>
    <row r="300" spans="1:3">
      <c r="A300">
        <v>268</v>
      </c>
      <c r="B300">
        <v>39608.589016003767</v>
      </c>
      <c r="C300">
        <v>10391.410983996233</v>
      </c>
    </row>
    <row r="301" spans="1:3">
      <c r="A301">
        <v>269</v>
      </c>
      <c r="B301">
        <v>38058.718982944541</v>
      </c>
      <c r="C301">
        <v>5441.2810170554585</v>
      </c>
    </row>
    <row r="302" spans="1:3">
      <c r="A302">
        <v>270</v>
      </c>
      <c r="B302">
        <v>21561.531671457662</v>
      </c>
      <c r="C302">
        <v>-861.53167145766201</v>
      </c>
    </row>
    <row r="303" spans="1:3">
      <c r="A303">
        <v>271</v>
      </c>
      <c r="B303">
        <v>20723.81445575165</v>
      </c>
      <c r="C303">
        <v>376.1855442483502</v>
      </c>
    </row>
    <row r="304" spans="1:3">
      <c r="A304">
        <v>272</v>
      </c>
      <c r="B304">
        <v>25733.346108821348</v>
      </c>
      <c r="C304">
        <v>-533.34610882134803</v>
      </c>
    </row>
    <row r="305" spans="1:3">
      <c r="A305">
        <v>273</v>
      </c>
      <c r="B305">
        <v>27548.617192890706</v>
      </c>
      <c r="C305">
        <v>-3148.6171928907061</v>
      </c>
    </row>
    <row r="306" spans="1:3">
      <c r="A306">
        <v>274</v>
      </c>
      <c r="B306">
        <v>32769.631065032372</v>
      </c>
      <c r="C306">
        <v>2430.3689349676279</v>
      </c>
    </row>
    <row r="307" spans="1:3">
      <c r="A307">
        <v>275</v>
      </c>
      <c r="B307">
        <v>30773.386970667059</v>
      </c>
      <c r="C307">
        <v>1626.6130293329406</v>
      </c>
    </row>
    <row r="308" spans="1:3">
      <c r="A308">
        <v>276</v>
      </c>
      <c r="B308">
        <v>32262.192658961547</v>
      </c>
      <c r="C308">
        <v>-262.19265896154684</v>
      </c>
    </row>
    <row r="309" spans="1:3">
      <c r="A309">
        <v>277</v>
      </c>
      <c r="B309">
        <v>32345.395260719211</v>
      </c>
      <c r="C309">
        <v>854.60473928078864</v>
      </c>
    </row>
    <row r="310" spans="1:3">
      <c r="A310">
        <v>278</v>
      </c>
      <c r="B310">
        <v>30932.397892897789</v>
      </c>
      <c r="C310">
        <v>2167.6021071022114</v>
      </c>
    </row>
    <row r="311" spans="1:3">
      <c r="A311">
        <v>279</v>
      </c>
      <c r="B311">
        <v>27388.712616211829</v>
      </c>
      <c r="C311">
        <v>1711.2873837881707</v>
      </c>
    </row>
    <row r="312" spans="1:3">
      <c r="A312">
        <v>280</v>
      </c>
      <c r="B312">
        <v>33721.476395054808</v>
      </c>
      <c r="C312">
        <v>1378.5236049451923</v>
      </c>
    </row>
    <row r="313" spans="1:3">
      <c r="A313">
        <v>281</v>
      </c>
      <c r="B313">
        <v>39669.098790293669</v>
      </c>
      <c r="C313">
        <v>5730.9012097063314</v>
      </c>
    </row>
    <row r="314" spans="1:3">
      <c r="A314">
        <v>282</v>
      </c>
      <c r="B314">
        <v>34875.604173295134</v>
      </c>
      <c r="C314">
        <v>524.39582670486561</v>
      </c>
    </row>
    <row r="315" spans="1:3">
      <c r="A315">
        <v>283</v>
      </c>
      <c r="B315">
        <v>38849.76756136398</v>
      </c>
      <c r="C315">
        <v>7150.2324386360197</v>
      </c>
    </row>
    <row r="316" spans="1:3">
      <c r="A316">
        <v>284</v>
      </c>
      <c r="B316">
        <v>39880.662618499664</v>
      </c>
      <c r="C316">
        <v>10119.337381500336</v>
      </c>
    </row>
    <row r="317" spans="1:3">
      <c r="A317">
        <v>285</v>
      </c>
      <c r="B317">
        <v>30741.156423200719</v>
      </c>
      <c r="C317">
        <v>1458.8435767992851</v>
      </c>
    </row>
    <row r="318" spans="1:3">
      <c r="A318">
        <v>286</v>
      </c>
      <c r="B318">
        <v>28020.641617345802</v>
      </c>
      <c r="C318">
        <v>-6020.6416173458019</v>
      </c>
    </row>
    <row r="319" spans="1:3">
      <c r="A319">
        <v>287</v>
      </c>
      <c r="B319">
        <v>22158.993252549153</v>
      </c>
      <c r="C319">
        <v>-2058.9932525491531</v>
      </c>
    </row>
    <row r="320" spans="1:3">
      <c r="A320">
        <v>288</v>
      </c>
      <c r="B320">
        <v>27599.193672884583</v>
      </c>
      <c r="C320">
        <v>-4399.1936728845831</v>
      </c>
    </row>
    <row r="321" spans="1:3">
      <c r="A321">
        <v>289</v>
      </c>
      <c r="B321">
        <v>28653.652760228055</v>
      </c>
      <c r="C321">
        <v>-6353.6527602280548</v>
      </c>
    </row>
    <row r="322" spans="1:3">
      <c r="A322">
        <v>290</v>
      </c>
      <c r="B322">
        <v>27652.796432711079</v>
      </c>
      <c r="C322">
        <v>-2852.7964327110785</v>
      </c>
    </row>
    <row r="323" spans="1:3">
      <c r="A323">
        <v>291</v>
      </c>
      <c r="B323">
        <v>29756.817206627551</v>
      </c>
      <c r="C323">
        <v>-1256.8172066275511</v>
      </c>
    </row>
    <row r="324" spans="1:3">
      <c r="A324">
        <v>292</v>
      </c>
      <c r="B324">
        <v>31072.955839156162</v>
      </c>
      <c r="C324">
        <v>6227.0441608438377</v>
      </c>
    </row>
    <row r="325" spans="1:3">
      <c r="A325">
        <v>293</v>
      </c>
      <c r="B325">
        <v>28058.296365165992</v>
      </c>
      <c r="C325">
        <v>-158.29636516599203</v>
      </c>
    </row>
    <row r="326" spans="1:3">
      <c r="A326">
        <v>294</v>
      </c>
      <c r="B326">
        <v>27219.684442011734</v>
      </c>
      <c r="C326">
        <v>-3319.6844420117341</v>
      </c>
    </row>
    <row r="327" spans="1:3">
      <c r="A327">
        <v>295</v>
      </c>
      <c r="B327">
        <v>26408.594181019133</v>
      </c>
      <c r="C327">
        <v>-4708.5941810191325</v>
      </c>
    </row>
    <row r="328" spans="1:3">
      <c r="A328">
        <v>296</v>
      </c>
      <c r="B328">
        <v>31199.048351589743</v>
      </c>
      <c r="C328">
        <v>-2599.0483515897431</v>
      </c>
    </row>
    <row r="329" spans="1:3">
      <c r="A329">
        <v>297</v>
      </c>
      <c r="B329">
        <v>30795.906333733681</v>
      </c>
      <c r="C329">
        <v>-3695.9063337336811</v>
      </c>
    </row>
    <row r="330" spans="1:3">
      <c r="A330">
        <v>298</v>
      </c>
      <c r="B330">
        <v>22490.386273092823</v>
      </c>
      <c r="C330">
        <v>-2190.3862730928231</v>
      </c>
    </row>
    <row r="331" spans="1:3">
      <c r="A331">
        <v>299</v>
      </c>
      <c r="B331">
        <v>29584.990709056827</v>
      </c>
      <c r="C331">
        <v>-7084.9907090568267</v>
      </c>
    </row>
    <row r="332" spans="1:3">
      <c r="A332">
        <v>300</v>
      </c>
      <c r="B332">
        <v>32200.43074395863</v>
      </c>
      <c r="C332">
        <v>-3200.43074395863</v>
      </c>
    </row>
    <row r="333" spans="1:3">
      <c r="A333">
        <v>301</v>
      </c>
      <c r="B333">
        <v>32094.009008640543</v>
      </c>
      <c r="C333">
        <v>-7294.0090086405435</v>
      </c>
    </row>
    <row r="334" spans="1:3">
      <c r="A334">
        <v>302</v>
      </c>
      <c r="B334">
        <v>28130.844134546027</v>
      </c>
      <c r="C334">
        <v>-6130.8441345460269</v>
      </c>
    </row>
    <row r="335" spans="1:3">
      <c r="A335">
        <v>303</v>
      </c>
      <c r="B335">
        <v>27618.948606620237</v>
      </c>
      <c r="C335">
        <v>-1218.9486066202371</v>
      </c>
    </row>
    <row r="336" spans="1:3">
      <c r="A336">
        <v>304</v>
      </c>
      <c r="B336">
        <v>32028.889644335286</v>
      </c>
      <c r="C336">
        <v>1071.110355664714</v>
      </c>
    </row>
    <row r="337" spans="1:3">
      <c r="A337">
        <v>305</v>
      </c>
      <c r="B337">
        <v>30852.152354020778</v>
      </c>
      <c r="C337">
        <v>5247.8476459792219</v>
      </c>
    </row>
    <row r="338" spans="1:3">
      <c r="A338">
        <v>306</v>
      </c>
      <c r="B338">
        <v>27573.084865471836</v>
      </c>
      <c r="C338">
        <v>826.91513452816434</v>
      </c>
    </row>
    <row r="339" spans="1:3">
      <c r="A339">
        <v>307</v>
      </c>
      <c r="B339">
        <v>32750.013753711282</v>
      </c>
      <c r="C339">
        <v>649.98624628871767</v>
      </c>
    </row>
    <row r="340" spans="1:3">
      <c r="A340">
        <v>308</v>
      </c>
      <c r="B340">
        <v>29929.499842558584</v>
      </c>
      <c r="C340">
        <v>-1729.4998425585836</v>
      </c>
    </row>
    <row r="341" spans="1:3">
      <c r="A341">
        <v>309</v>
      </c>
      <c r="B341">
        <v>29438.408731686777</v>
      </c>
      <c r="C341">
        <v>-6638.4087316867772</v>
      </c>
    </row>
    <row r="342" spans="1:3">
      <c r="A342">
        <v>310</v>
      </c>
      <c r="B342">
        <v>23188.746044482876</v>
      </c>
      <c r="C342">
        <v>-2888.7460444828757</v>
      </c>
    </row>
    <row r="343" spans="1:3">
      <c r="A343">
        <v>311</v>
      </c>
      <c r="B343">
        <v>16168.901715236629</v>
      </c>
      <c r="C343">
        <v>-68.901715236626842</v>
      </c>
    </row>
    <row r="344" spans="1:3">
      <c r="A344">
        <v>312</v>
      </c>
      <c r="B344">
        <v>25258.138977764247</v>
      </c>
      <c r="C344">
        <v>-3158.1389777642471</v>
      </c>
    </row>
    <row r="345" spans="1:3">
      <c r="A345">
        <v>313</v>
      </c>
      <c r="B345">
        <v>23026.303800538779</v>
      </c>
      <c r="C345">
        <v>-3626.3038005387789</v>
      </c>
    </row>
    <row r="346" spans="1:3">
      <c r="A346">
        <v>314</v>
      </c>
      <c r="B346">
        <v>25952.698283895865</v>
      </c>
      <c r="C346">
        <v>-4352.6982838958647</v>
      </c>
    </row>
    <row r="347" spans="1:3">
      <c r="A347">
        <v>315</v>
      </c>
      <c r="B347">
        <v>26237.194291236356</v>
      </c>
      <c r="C347">
        <v>-2437.1942912363556</v>
      </c>
    </row>
    <row r="348" spans="1:3">
      <c r="A348">
        <v>316</v>
      </c>
      <c r="B348">
        <v>20989.963425909602</v>
      </c>
      <c r="C348">
        <v>-4789.9634259096019</v>
      </c>
    </row>
    <row r="349" spans="1:3">
      <c r="A349">
        <v>317</v>
      </c>
      <c r="B349">
        <v>18326.732539143326</v>
      </c>
      <c r="C349">
        <v>-526.73253914332599</v>
      </c>
    </row>
    <row r="350" spans="1:3">
      <c r="A350">
        <v>318</v>
      </c>
      <c r="B350">
        <v>18650.479431315191</v>
      </c>
      <c r="C350">
        <v>1149.5205686848094</v>
      </c>
    </row>
    <row r="351" spans="1:3">
      <c r="A351">
        <v>319</v>
      </c>
      <c r="B351">
        <v>24381.888235168055</v>
      </c>
      <c r="C351">
        <v>-1281.888235168055</v>
      </c>
    </row>
    <row r="352" spans="1:3">
      <c r="A352">
        <v>320</v>
      </c>
      <c r="B352">
        <v>21516.254803518732</v>
      </c>
      <c r="C352">
        <v>-516.25480351873193</v>
      </c>
    </row>
    <row r="353" spans="1:3">
      <c r="A353">
        <v>321</v>
      </c>
      <c r="B353">
        <v>25590.379123053714</v>
      </c>
      <c r="C353">
        <v>-1790.3791230537136</v>
      </c>
    </row>
    <row r="354" spans="1:3">
      <c r="A354">
        <v>322</v>
      </c>
      <c r="B354">
        <v>25615.261519974632</v>
      </c>
      <c r="C354">
        <v>-2515.2615199746324</v>
      </c>
    </row>
    <row r="355" spans="1:3">
      <c r="A355">
        <v>323</v>
      </c>
      <c r="B355">
        <v>23458.287667520199</v>
      </c>
      <c r="C355">
        <v>-3058.2876675201987</v>
      </c>
    </row>
    <row r="356" spans="1:3">
      <c r="A356">
        <v>324</v>
      </c>
      <c r="B356">
        <v>20575.323439541608</v>
      </c>
      <c r="C356">
        <v>-2075.3234395416075</v>
      </c>
    </row>
    <row r="357" spans="1:3">
      <c r="A357">
        <v>325</v>
      </c>
      <c r="B357">
        <v>25344.958439375565</v>
      </c>
      <c r="C357">
        <v>-344.95843937556492</v>
      </c>
    </row>
    <row r="358" spans="1:3">
      <c r="A358">
        <v>326</v>
      </c>
      <c r="B358">
        <v>25191.201861005255</v>
      </c>
      <c r="C358">
        <v>-591.20186100525461</v>
      </c>
    </row>
    <row r="359" spans="1:3">
      <c r="A359">
        <v>327</v>
      </c>
      <c r="B359">
        <v>24893.509451667436</v>
      </c>
      <c r="C359">
        <v>-1893.5094516674362</v>
      </c>
    </row>
    <row r="360" spans="1:3">
      <c r="A360">
        <v>328</v>
      </c>
      <c r="B360">
        <v>20044.745452011164</v>
      </c>
      <c r="C360">
        <v>2155.2545479888358</v>
      </c>
    </row>
    <row r="361" spans="1:3">
      <c r="A361">
        <v>329</v>
      </c>
      <c r="B361">
        <v>20748.843091625014</v>
      </c>
      <c r="C361">
        <v>-1448.8430916250145</v>
      </c>
    </row>
    <row r="362" spans="1:3">
      <c r="A362">
        <v>330</v>
      </c>
      <c r="B362">
        <v>23907.229509517274</v>
      </c>
      <c r="C362">
        <v>-1307.229509517274</v>
      </c>
    </row>
    <row r="363" spans="1:3">
      <c r="A363">
        <v>331</v>
      </c>
      <c r="B363">
        <v>22962.971044553888</v>
      </c>
      <c r="C363">
        <v>-3162.9710445538876</v>
      </c>
    </row>
    <row r="364" spans="1:3">
      <c r="A364">
        <v>332</v>
      </c>
      <c r="B364">
        <v>20428.61159901696</v>
      </c>
      <c r="C364">
        <v>-3328.6115990169601</v>
      </c>
    </row>
    <row r="365" spans="1:3">
      <c r="A365">
        <v>333</v>
      </c>
      <c r="B365">
        <v>24328.420828832339</v>
      </c>
      <c r="C365">
        <v>-4928.4208288323389</v>
      </c>
    </row>
    <row r="366" spans="1:3">
      <c r="A366">
        <v>334</v>
      </c>
      <c r="B366">
        <v>25129.404482882834</v>
      </c>
      <c r="C366">
        <v>-2929.4044828828337</v>
      </c>
    </row>
    <row r="367" spans="1:3">
      <c r="A367">
        <v>335</v>
      </c>
      <c r="B367">
        <v>24371.996170134778</v>
      </c>
      <c r="C367">
        <v>-3671.9961701347784</v>
      </c>
    </row>
    <row r="368" spans="1:3">
      <c r="A368">
        <v>336</v>
      </c>
      <c r="B368">
        <v>22230.60274694944</v>
      </c>
      <c r="C368">
        <v>-1130.6027469494402</v>
      </c>
    </row>
    <row r="369" spans="1:3">
      <c r="A369">
        <v>337</v>
      </c>
      <c r="B369">
        <v>21029.342389071495</v>
      </c>
      <c r="C369">
        <v>-1529.3423890714948</v>
      </c>
    </row>
    <row r="370" spans="1:3">
      <c r="A370">
        <v>338</v>
      </c>
      <c r="B370">
        <v>21134.469219066239</v>
      </c>
      <c r="C370">
        <v>-2634.469219066239</v>
      </c>
    </row>
    <row r="371" spans="1:3">
      <c r="A371">
        <v>339</v>
      </c>
      <c r="B371">
        <v>22087.662617805574</v>
      </c>
      <c r="C371">
        <v>-1487.662617805574</v>
      </c>
    </row>
    <row r="372" spans="1:3">
      <c r="A372">
        <v>340</v>
      </c>
      <c r="B372">
        <v>21379.912501712013</v>
      </c>
      <c r="C372">
        <v>-2379.9125017120132</v>
      </c>
    </row>
    <row r="373" spans="1:3">
      <c r="A373">
        <v>341</v>
      </c>
      <c r="B373">
        <v>22017.330702280011</v>
      </c>
      <c r="C373">
        <v>-3317.3307022800109</v>
      </c>
    </row>
    <row r="374" spans="1:3">
      <c r="A374">
        <v>342</v>
      </c>
      <c r="B374">
        <v>32952.104174226915</v>
      </c>
      <c r="C374">
        <v>-252.10417422691171</v>
      </c>
    </row>
    <row r="375" spans="1:3">
      <c r="A375">
        <v>343</v>
      </c>
      <c r="B375">
        <v>25157.34154683409</v>
      </c>
      <c r="C375">
        <v>-8657.34154683409</v>
      </c>
    </row>
    <row r="376" spans="1:3">
      <c r="A376">
        <v>344</v>
      </c>
      <c r="B376">
        <v>27372.571093499952</v>
      </c>
      <c r="C376">
        <v>-3472.5710934999515</v>
      </c>
    </row>
    <row r="377" spans="1:3">
      <c r="A377">
        <v>345</v>
      </c>
      <c r="B377">
        <v>28708.599625336712</v>
      </c>
      <c r="C377">
        <v>2491.4003746632879</v>
      </c>
    </row>
    <row r="378" spans="1:3">
      <c r="A378">
        <v>346</v>
      </c>
      <c r="B378">
        <v>20924.813707274934</v>
      </c>
      <c r="C378">
        <v>-3424.8137072749341</v>
      </c>
    </row>
    <row r="379" spans="1:3">
      <c r="A379">
        <v>347</v>
      </c>
      <c r="B379">
        <v>19193.315331895403</v>
      </c>
      <c r="C379">
        <v>-1993.3153318954028</v>
      </c>
    </row>
    <row r="380" spans="1:3">
      <c r="A380">
        <v>348</v>
      </c>
      <c r="B380">
        <v>26117.89658109743</v>
      </c>
      <c r="C380">
        <v>-3017.8965810974296</v>
      </c>
    </row>
    <row r="381" spans="1:3">
      <c r="A381">
        <v>349</v>
      </c>
      <c r="B381">
        <v>28618.832139650935</v>
      </c>
      <c r="C381">
        <v>-4118.8321396509346</v>
      </c>
    </row>
    <row r="382" spans="1:3">
      <c r="A382">
        <v>350</v>
      </c>
      <c r="B382">
        <v>25822.440905837386</v>
      </c>
      <c r="C382">
        <v>777.5590941626142</v>
      </c>
    </row>
    <row r="383" spans="1:3">
      <c r="A383">
        <v>351</v>
      </c>
      <c r="B383">
        <v>24209.41969088943</v>
      </c>
      <c r="C383">
        <v>-1309.4196908894301</v>
      </c>
    </row>
    <row r="384" spans="1:3">
      <c r="A384">
        <v>352</v>
      </c>
      <c r="B384">
        <v>26018.439168687401</v>
      </c>
      <c r="C384">
        <v>-1918.4391686874005</v>
      </c>
    </row>
    <row r="385" spans="1:3">
      <c r="A385">
        <v>353</v>
      </c>
      <c r="B385">
        <v>20917.861294274622</v>
      </c>
      <c r="C385">
        <v>-2317.8612942746222</v>
      </c>
    </row>
    <row r="386" spans="1:3">
      <c r="A386">
        <v>354</v>
      </c>
      <c r="B386">
        <v>32300.984036862355</v>
      </c>
      <c r="C386">
        <v>-2200.9840368623554</v>
      </c>
    </row>
    <row r="387" spans="1:3">
      <c r="A387">
        <v>355</v>
      </c>
      <c r="B387">
        <v>17089.946340981041</v>
      </c>
      <c r="C387">
        <v>1110.0536590189586</v>
      </c>
    </row>
    <row r="388" spans="1:3">
      <c r="A388">
        <v>356</v>
      </c>
      <c r="B388">
        <v>20014.732641647523</v>
      </c>
      <c r="C388">
        <v>585.26735835247746</v>
      </c>
    </row>
    <row r="389" spans="1:3">
      <c r="A389">
        <v>357</v>
      </c>
      <c r="B389">
        <v>16864.059068071791</v>
      </c>
      <c r="C389">
        <v>935.94093192820947</v>
      </c>
    </row>
    <row r="390" spans="1:3">
      <c r="A390">
        <v>358</v>
      </c>
      <c r="B390">
        <v>20193.904759272911</v>
      </c>
      <c r="C390">
        <v>1506.0952407270888</v>
      </c>
    </row>
    <row r="391" spans="1:3">
      <c r="A391">
        <v>359</v>
      </c>
      <c r="B391">
        <v>19717.734316837152</v>
      </c>
      <c r="C391">
        <v>2982.2656831628483</v>
      </c>
    </row>
    <row r="392" spans="1:3">
      <c r="A392">
        <v>360</v>
      </c>
      <c r="B392">
        <v>19224.94364507623</v>
      </c>
      <c r="C392">
        <v>3375.0563549237704</v>
      </c>
    </row>
    <row r="393" spans="1:3">
      <c r="A393">
        <v>361</v>
      </c>
      <c r="B393">
        <v>23426.142311776352</v>
      </c>
      <c r="C393">
        <v>1573.8576882236484</v>
      </c>
    </row>
    <row r="394" spans="1:3">
      <c r="A394">
        <v>362</v>
      </c>
      <c r="B394">
        <v>19313.19095411295</v>
      </c>
      <c r="C394">
        <v>586.80904588705016</v>
      </c>
    </row>
    <row r="395" spans="1:3">
      <c r="A395">
        <v>363</v>
      </c>
      <c r="B395">
        <v>18056.045831315027</v>
      </c>
      <c r="C395">
        <v>2743.9541686849734</v>
      </c>
    </row>
    <row r="396" spans="1:3">
      <c r="A396">
        <v>364</v>
      </c>
      <c r="B396">
        <v>16987.015653102349</v>
      </c>
      <c r="C396">
        <v>-187.01565310234946</v>
      </c>
    </row>
    <row r="397" spans="1:3">
      <c r="A397">
        <v>365</v>
      </c>
      <c r="B397">
        <v>35413.090942218689</v>
      </c>
      <c r="C397">
        <v>-13513.090942218689</v>
      </c>
    </row>
    <row r="398" spans="1:3">
      <c r="A398">
        <v>366</v>
      </c>
      <c r="B398">
        <v>12922.964594246489</v>
      </c>
      <c r="C398">
        <v>14577.035405753511</v>
      </c>
    </row>
    <row r="399" spans="1:3">
      <c r="A399">
        <v>367</v>
      </c>
      <c r="B399">
        <v>14458.446775667493</v>
      </c>
      <c r="C399">
        <v>7441.5532243325069</v>
      </c>
    </row>
    <row r="400" spans="1:3">
      <c r="A400">
        <v>368</v>
      </c>
      <c r="B400">
        <v>11439.864424800704</v>
      </c>
      <c r="C400">
        <v>11660.135575199296</v>
      </c>
    </row>
    <row r="401" spans="1:3">
      <c r="A401">
        <v>369</v>
      </c>
      <c r="B401">
        <v>22238.267655350483</v>
      </c>
      <c r="C401">
        <v>27761.732344649517</v>
      </c>
    </row>
    <row r="402" spans="1:3">
      <c r="A402">
        <v>370</v>
      </c>
      <c r="B402">
        <v>28816.561779611733</v>
      </c>
      <c r="C402">
        <v>21183.438220388267</v>
      </c>
    </row>
    <row r="403" spans="1:3">
      <c r="A403">
        <v>371</v>
      </c>
      <c r="B403">
        <v>30784.611838317483</v>
      </c>
      <c r="C403">
        <v>19215.388161682517</v>
      </c>
    </row>
    <row r="404" spans="1:3">
      <c r="A404">
        <v>372</v>
      </c>
      <c r="B404">
        <v>23418.711484308184</v>
      </c>
      <c r="C404">
        <v>26581.288515691816</v>
      </c>
    </row>
    <row r="405" spans="1:3">
      <c r="A405">
        <v>373</v>
      </c>
      <c r="B405">
        <v>21563.431197397542</v>
      </c>
      <c r="C405">
        <v>28436.568802602458</v>
      </c>
    </row>
    <row r="406" spans="1:3">
      <c r="A406">
        <v>374</v>
      </c>
      <c r="B406">
        <v>2511.5890872278942</v>
      </c>
      <c r="C406">
        <v>11288.410912772106</v>
      </c>
    </row>
    <row r="407" spans="1:3">
      <c r="A407">
        <v>375</v>
      </c>
      <c r="B407">
        <v>-2858.3658075026433</v>
      </c>
      <c r="C407">
        <v>16658.365807502643</v>
      </c>
    </row>
    <row r="408" spans="1:3">
      <c r="A408">
        <v>376</v>
      </c>
      <c r="B408">
        <v>25065.737861168014</v>
      </c>
      <c r="C408">
        <v>-10065.737861168014</v>
      </c>
    </row>
    <row r="409" spans="1:3">
      <c r="A409">
        <v>377</v>
      </c>
      <c r="B409">
        <v>16405.158333277945</v>
      </c>
      <c r="C409">
        <v>-2505.1583332779446</v>
      </c>
    </row>
    <row r="410" spans="1:3">
      <c r="A410">
        <v>378</v>
      </c>
      <c r="B410">
        <v>18245.433000775702</v>
      </c>
      <c r="C410">
        <v>-4945.4330007757017</v>
      </c>
    </row>
    <row r="411" spans="1:3">
      <c r="A411">
        <v>379</v>
      </c>
      <c r="B411">
        <v>14960.596328977263</v>
      </c>
      <c r="C411">
        <v>-1860.5963289772626</v>
      </c>
    </row>
    <row r="412" spans="1:3">
      <c r="A412">
        <v>380</v>
      </c>
      <c r="B412">
        <v>15947.578517783919</v>
      </c>
      <c r="C412">
        <v>-5747.5785177839189</v>
      </c>
    </row>
    <row r="413" spans="1:3">
      <c r="A413">
        <v>381</v>
      </c>
      <c r="B413">
        <v>21020.86027934296</v>
      </c>
      <c r="C413">
        <v>-10620.86027934296</v>
      </c>
    </row>
    <row r="414" spans="1:3">
      <c r="A414">
        <v>382</v>
      </c>
      <c r="B414">
        <v>17459.313954991434</v>
      </c>
      <c r="C414">
        <v>-6559.313954991434</v>
      </c>
    </row>
    <row r="415" spans="1:3">
      <c r="A415">
        <v>383</v>
      </c>
      <c r="B415">
        <v>11609.251272825317</v>
      </c>
      <c r="C415">
        <v>-309.25127282531685</v>
      </c>
    </row>
    <row r="416" spans="1:3">
      <c r="A416">
        <v>384</v>
      </c>
      <c r="B416">
        <v>11021.219951778565</v>
      </c>
      <c r="C416">
        <v>1278.7800482214352</v>
      </c>
    </row>
    <row r="417" spans="1:3">
      <c r="A417">
        <v>385</v>
      </c>
      <c r="B417">
        <v>2044.3975164327057</v>
      </c>
      <c r="C417">
        <v>6755.6024835672943</v>
      </c>
    </row>
    <row r="418" spans="1:3">
      <c r="A418">
        <v>386</v>
      </c>
      <c r="B418">
        <v>5876.5555068149151</v>
      </c>
      <c r="C418">
        <v>1323.4444931850849</v>
      </c>
    </row>
    <row r="419" spans="1:3">
      <c r="A419">
        <v>387</v>
      </c>
      <c r="B419">
        <v>5127.7263636489588</v>
      </c>
      <c r="C419">
        <v>5372.2736363510412</v>
      </c>
    </row>
    <row r="420" spans="1:3">
      <c r="A420">
        <v>388</v>
      </c>
      <c r="B420">
        <v>3614.6445785848518</v>
      </c>
      <c r="C420">
        <v>3785.3554214151482</v>
      </c>
    </row>
    <row r="421" spans="1:3">
      <c r="A421">
        <v>389</v>
      </c>
      <c r="B421">
        <v>4564.8989362934335</v>
      </c>
      <c r="C421">
        <v>5635.1010637065665</v>
      </c>
    </row>
    <row r="422" spans="1:3">
      <c r="A422">
        <v>390</v>
      </c>
      <c r="B422">
        <v>12524.61496815873</v>
      </c>
      <c r="C422">
        <v>-1024.6149681587303</v>
      </c>
    </row>
    <row r="423" spans="1:3">
      <c r="A423">
        <v>391</v>
      </c>
      <c r="B423">
        <v>16254.375086773689</v>
      </c>
      <c r="C423">
        <v>-1154.375086773689</v>
      </c>
    </row>
    <row r="424" spans="1:3">
      <c r="A424">
        <v>392</v>
      </c>
      <c r="B424">
        <v>15722.780190795669</v>
      </c>
      <c r="C424">
        <v>7477.2198092043309</v>
      </c>
    </row>
    <row r="425" spans="1:3">
      <c r="A425">
        <v>393</v>
      </c>
      <c r="B425">
        <v>7800.0916687997305</v>
      </c>
      <c r="C425">
        <v>1899.9083312002695</v>
      </c>
    </row>
    <row r="426" spans="1:3">
      <c r="A426">
        <v>394</v>
      </c>
      <c r="B426">
        <v>18863.663284662813</v>
      </c>
      <c r="C426">
        <v>-5063.6632846628127</v>
      </c>
    </row>
    <row r="427" spans="1:3">
      <c r="A427">
        <v>395</v>
      </c>
      <c r="B427">
        <v>17000.444418129366</v>
      </c>
      <c r="C427">
        <v>-4300.4444181293657</v>
      </c>
    </row>
    <row r="428" spans="1:3">
      <c r="A428">
        <v>396</v>
      </c>
      <c r="B428">
        <v>19283.542756830208</v>
      </c>
      <c r="C428">
        <v>-6183.5427568302075</v>
      </c>
    </row>
    <row r="429" spans="1:3">
      <c r="A429">
        <v>397</v>
      </c>
      <c r="B429">
        <v>17538.065747423047</v>
      </c>
      <c r="C429">
        <v>-5038.0657474230466</v>
      </c>
    </row>
    <row r="430" spans="1:3">
      <c r="A430">
        <v>398</v>
      </c>
      <c r="B430">
        <v>14639.499883504368</v>
      </c>
      <c r="C430">
        <v>-6139.499883504368</v>
      </c>
    </row>
    <row r="431" spans="1:3">
      <c r="A431">
        <v>399</v>
      </c>
      <c r="B431">
        <v>6787.8132230133124</v>
      </c>
      <c r="C431">
        <v>-1787.8132230133124</v>
      </c>
    </row>
    <row r="432" spans="1:3">
      <c r="A432">
        <v>400</v>
      </c>
      <c r="B432">
        <v>8323.3692996891041</v>
      </c>
      <c r="C432">
        <v>-2023.3692996891041</v>
      </c>
    </row>
    <row r="433" spans="1:3">
      <c r="A433">
        <v>401</v>
      </c>
      <c r="B433">
        <v>11446.405536736847</v>
      </c>
      <c r="C433">
        <v>-5846.4055367368474</v>
      </c>
    </row>
    <row r="434" spans="1:3">
      <c r="A434">
        <v>402</v>
      </c>
      <c r="B434">
        <v>16660.582654062873</v>
      </c>
      <c r="C434">
        <v>-9460.5826540628732</v>
      </c>
    </row>
    <row r="435" spans="1:3">
      <c r="A435">
        <v>403</v>
      </c>
      <c r="B435">
        <v>17297.458468348876</v>
      </c>
      <c r="C435">
        <v>-5197.4584683488756</v>
      </c>
    </row>
    <row r="436" spans="1:3">
      <c r="A436">
        <v>404</v>
      </c>
      <c r="B436">
        <v>12900.311574823416</v>
      </c>
      <c r="C436">
        <v>-4600.3115748234159</v>
      </c>
    </row>
    <row r="437" spans="1:3">
      <c r="A437">
        <v>405</v>
      </c>
      <c r="B437">
        <v>8543.3863443501868</v>
      </c>
      <c r="C437">
        <v>-43.386344350186846</v>
      </c>
    </row>
    <row r="438" spans="1:3">
      <c r="A438">
        <v>406</v>
      </c>
      <c r="B438">
        <v>12325.636865905853</v>
      </c>
      <c r="C438">
        <v>-7325.6368659058535</v>
      </c>
    </row>
    <row r="439" spans="1:3">
      <c r="A439">
        <v>407</v>
      </c>
      <c r="B439">
        <v>6278.4352804299924</v>
      </c>
      <c r="C439">
        <v>5621.5647195700076</v>
      </c>
    </row>
    <row r="440" spans="1:3">
      <c r="A440">
        <v>408</v>
      </c>
      <c r="B440">
        <v>18939.720358833438</v>
      </c>
      <c r="C440">
        <v>8960.2796411665622</v>
      </c>
    </row>
    <row r="441" spans="1:3">
      <c r="A441">
        <v>409</v>
      </c>
      <c r="B441">
        <v>11148.45667097413</v>
      </c>
      <c r="C441">
        <v>6051.5433290258698</v>
      </c>
    </row>
    <row r="442" spans="1:3">
      <c r="A442">
        <v>410</v>
      </c>
      <c r="B442">
        <v>20429.340666724951</v>
      </c>
      <c r="C442">
        <v>7070.659333275049</v>
      </c>
    </row>
    <row r="443" spans="1:3">
      <c r="A443">
        <v>411</v>
      </c>
      <c r="B443">
        <v>21586.05184174062</v>
      </c>
      <c r="C443">
        <v>-6586.0518417406201</v>
      </c>
    </row>
    <row r="444" spans="1:3">
      <c r="A444">
        <v>412</v>
      </c>
      <c r="B444">
        <v>18637.846093463173</v>
      </c>
      <c r="C444">
        <v>-1437.846093463173</v>
      </c>
    </row>
    <row r="445" spans="1:3">
      <c r="A445">
        <v>413</v>
      </c>
      <c r="B445">
        <v>2262.1058041250035</v>
      </c>
      <c r="C445">
        <v>15637.894195874997</v>
      </c>
    </row>
    <row r="446" spans="1:3">
      <c r="A446">
        <v>414</v>
      </c>
      <c r="B446">
        <v>12922.928065994231</v>
      </c>
      <c r="C446">
        <v>3377.0719340057694</v>
      </c>
    </row>
    <row r="447" spans="1:3">
      <c r="A447">
        <v>415</v>
      </c>
      <c r="B447">
        <v>-476.79159052570685</v>
      </c>
      <c r="C447">
        <v>7476.7915905257069</v>
      </c>
    </row>
    <row r="448" spans="1:3">
      <c r="A448">
        <v>416</v>
      </c>
      <c r="B448">
        <v>12292.20397880577</v>
      </c>
      <c r="C448">
        <v>-5092.20397880577</v>
      </c>
    </row>
    <row r="449" spans="1:3">
      <c r="A449">
        <v>417</v>
      </c>
      <c r="B449">
        <v>15445.052007861366</v>
      </c>
      <c r="C449">
        <v>-7945.0520078613663</v>
      </c>
    </row>
    <row r="450" spans="1:3">
      <c r="A450">
        <v>418</v>
      </c>
      <c r="B450">
        <v>8787.7348080335687</v>
      </c>
      <c r="C450">
        <v>1612.2651919664313</v>
      </c>
    </row>
    <row r="451" spans="1:3">
      <c r="A451">
        <v>419</v>
      </c>
      <c r="B451">
        <v>15279.910456071648</v>
      </c>
      <c r="C451">
        <v>-6479.9104560716478</v>
      </c>
    </row>
    <row r="452" spans="1:3">
      <c r="A452">
        <v>420</v>
      </c>
      <c r="B452">
        <v>16360.632083352153</v>
      </c>
      <c r="C452">
        <v>-7960.6320833521531</v>
      </c>
    </row>
    <row r="453" spans="1:3">
      <c r="A453">
        <v>421</v>
      </c>
      <c r="B453">
        <v>20010.249649219746</v>
      </c>
      <c r="C453">
        <v>-3310.2496492197461</v>
      </c>
    </row>
    <row r="454" spans="1:3">
      <c r="A454">
        <v>422</v>
      </c>
      <c r="B454">
        <v>17584.321034080123</v>
      </c>
      <c r="C454">
        <v>-3384.3210340801234</v>
      </c>
    </row>
    <row r="455" spans="1:3">
      <c r="A455">
        <v>423</v>
      </c>
      <c r="B455">
        <v>18254.723807250433</v>
      </c>
      <c r="C455">
        <v>2545.2761927495667</v>
      </c>
    </row>
    <row r="456" spans="1:3">
      <c r="A456">
        <v>424</v>
      </c>
      <c r="B456">
        <v>14245.6848552011</v>
      </c>
      <c r="C456">
        <v>-845.68485520109971</v>
      </c>
    </row>
    <row r="457" spans="1:3">
      <c r="A457">
        <v>425</v>
      </c>
      <c r="B457">
        <v>15778.638299821287</v>
      </c>
      <c r="C457">
        <v>-4078.6382998212866</v>
      </c>
    </row>
    <row r="458" spans="1:3">
      <c r="A458">
        <v>426</v>
      </c>
      <c r="B458">
        <v>12375.574946900548</v>
      </c>
      <c r="C458">
        <v>-4075.5749469005477</v>
      </c>
    </row>
    <row r="459" spans="1:3">
      <c r="A459">
        <v>427</v>
      </c>
      <c r="B459">
        <v>17338.173844012043</v>
      </c>
      <c r="C459">
        <v>-7138.1738440120425</v>
      </c>
    </row>
    <row r="460" spans="1:3">
      <c r="A460">
        <v>428</v>
      </c>
      <c r="B460">
        <v>19094.482137479397</v>
      </c>
      <c r="C460">
        <v>-8194.4821374793974</v>
      </c>
    </row>
    <row r="461" spans="1:3">
      <c r="A461">
        <v>429</v>
      </c>
      <c r="B461">
        <v>14769.279758198581</v>
      </c>
      <c r="C461">
        <v>-3769.2797581985815</v>
      </c>
    </row>
    <row r="462" spans="1:3">
      <c r="A462">
        <v>430</v>
      </c>
      <c r="B462">
        <v>14798.957284412782</v>
      </c>
      <c r="C462">
        <v>-5298.9572844127815</v>
      </c>
    </row>
    <row r="463" spans="1:3">
      <c r="A463">
        <v>431</v>
      </c>
      <c r="B463">
        <v>19171.187912032674</v>
      </c>
      <c r="C463">
        <v>-4671.1879120326739</v>
      </c>
    </row>
    <row r="464" spans="1:3">
      <c r="A464">
        <v>432</v>
      </c>
      <c r="B464">
        <v>20276.298359540051</v>
      </c>
      <c r="C464">
        <v>-6176.298359540051</v>
      </c>
    </row>
    <row r="465" spans="1:3">
      <c r="A465">
        <v>433</v>
      </c>
      <c r="B465">
        <v>22444.454665685502</v>
      </c>
      <c r="C465">
        <v>-6344.4546656855</v>
      </c>
    </row>
    <row r="466" spans="1:3">
      <c r="A466">
        <v>434</v>
      </c>
      <c r="B466">
        <v>18961.274966520323</v>
      </c>
      <c r="C466">
        <v>-4661.2749665203228</v>
      </c>
    </row>
    <row r="467" spans="1:3">
      <c r="A467">
        <v>435</v>
      </c>
      <c r="B467">
        <v>18936.035236623087</v>
      </c>
      <c r="C467">
        <v>-7236.0352366230873</v>
      </c>
    </row>
    <row r="468" spans="1:3">
      <c r="A468">
        <v>436</v>
      </c>
      <c r="B468">
        <v>15369.80598579142</v>
      </c>
      <c r="C468">
        <v>-1969.8059857914195</v>
      </c>
    </row>
    <row r="469" spans="1:3">
      <c r="A469">
        <v>437</v>
      </c>
      <c r="B469">
        <v>18248.965335917524</v>
      </c>
      <c r="C469">
        <v>-8648.9653359175245</v>
      </c>
    </row>
    <row r="470" spans="1:3">
      <c r="A470">
        <v>438</v>
      </c>
      <c r="B470">
        <v>11906.770796962493</v>
      </c>
      <c r="C470">
        <v>-3206.7707969624935</v>
      </c>
    </row>
    <row r="471" spans="1:3">
      <c r="A471">
        <v>439</v>
      </c>
      <c r="B471">
        <v>6155.4387395001431</v>
      </c>
      <c r="C471">
        <v>2244.5612604998569</v>
      </c>
    </row>
    <row r="472" spans="1:3">
      <c r="A472">
        <v>440</v>
      </c>
      <c r="B472">
        <v>11617.53471572313</v>
      </c>
      <c r="C472">
        <v>1182.4652842768701</v>
      </c>
    </row>
    <row r="473" spans="1:3">
      <c r="A473">
        <v>441</v>
      </c>
      <c r="B473">
        <v>12953.001878164954</v>
      </c>
      <c r="C473">
        <v>-2453.0018781649542</v>
      </c>
    </row>
    <row r="474" spans="1:3">
      <c r="A474">
        <v>442</v>
      </c>
      <c r="B474">
        <v>17051.307331839944</v>
      </c>
      <c r="C474">
        <v>48.692668160056201</v>
      </c>
    </row>
    <row r="475" spans="1:3">
      <c r="A475">
        <v>443</v>
      </c>
      <c r="B475">
        <v>17983.918429935198</v>
      </c>
      <c r="C475">
        <v>416.08157006480178</v>
      </c>
    </row>
    <row r="476" spans="1:3">
      <c r="A476">
        <v>444</v>
      </c>
      <c r="B476">
        <v>17749.428003341469</v>
      </c>
      <c r="C476">
        <v>-2349.4280033414689</v>
      </c>
    </row>
    <row r="477" spans="1:3">
      <c r="A477">
        <v>445</v>
      </c>
      <c r="B477">
        <v>12346.61536642811</v>
      </c>
      <c r="C477">
        <v>-1546.6153664281101</v>
      </c>
    </row>
    <row r="478" spans="1:3">
      <c r="A478">
        <v>446</v>
      </c>
      <c r="B478">
        <v>14211.565922920061</v>
      </c>
      <c r="C478">
        <v>-2411.565922920061</v>
      </c>
    </row>
    <row r="479" spans="1:3">
      <c r="A479">
        <v>447</v>
      </c>
      <c r="B479">
        <v>18001.080627273659</v>
      </c>
      <c r="C479">
        <v>-3101.080627273659</v>
      </c>
    </row>
    <row r="480" spans="1:3">
      <c r="A480">
        <v>448</v>
      </c>
      <c r="B480">
        <v>18286.944306269434</v>
      </c>
      <c r="C480">
        <v>-5686.9443062694336</v>
      </c>
    </row>
    <row r="481" spans="1:3">
      <c r="A481">
        <v>449</v>
      </c>
      <c r="B481">
        <v>17416.66402226661</v>
      </c>
      <c r="C481">
        <v>-3316.6640222666101</v>
      </c>
    </row>
    <row r="482" spans="1:3">
      <c r="A482">
        <v>450</v>
      </c>
      <c r="B482">
        <v>17435.453906024151</v>
      </c>
      <c r="C482">
        <v>-4435.4539060241514</v>
      </c>
    </row>
    <row r="483" spans="1:3">
      <c r="A483">
        <v>451</v>
      </c>
      <c r="B483">
        <v>19595.977371318888</v>
      </c>
      <c r="C483">
        <v>-6195.9773713188879</v>
      </c>
    </row>
    <row r="484" spans="1:3">
      <c r="A484">
        <v>452</v>
      </c>
      <c r="B484">
        <v>19566.017994434947</v>
      </c>
      <c r="C484">
        <v>-4366.0179944349475</v>
      </c>
    </row>
    <row r="485" spans="1:3">
      <c r="A485">
        <v>453</v>
      </c>
      <c r="B485">
        <v>18240.651240208183</v>
      </c>
      <c r="C485">
        <v>-2140.6512402081808</v>
      </c>
    </row>
    <row r="486" spans="1:3">
      <c r="A486">
        <v>454</v>
      </c>
      <c r="B486">
        <v>23104.511117300051</v>
      </c>
      <c r="C486">
        <v>-5304.5111173000514</v>
      </c>
    </row>
    <row r="487" spans="1:3">
      <c r="A487">
        <v>455</v>
      </c>
      <c r="B487">
        <v>18930.412241938859</v>
      </c>
      <c r="C487">
        <v>-4030.4122419388586</v>
      </c>
    </row>
    <row r="488" spans="1:3">
      <c r="A488">
        <v>456</v>
      </c>
      <c r="B488">
        <v>18450.880826566485</v>
      </c>
      <c r="C488">
        <v>-4350.8808265664848</v>
      </c>
    </row>
    <row r="489" spans="1:3">
      <c r="A489">
        <v>457</v>
      </c>
      <c r="B489">
        <v>15718.065861329955</v>
      </c>
      <c r="C489">
        <v>-3018.0658613299547</v>
      </c>
    </row>
    <row r="490" spans="1:3">
      <c r="A490">
        <v>458</v>
      </c>
      <c r="B490">
        <v>16138.823768891098</v>
      </c>
      <c r="C490">
        <v>-2638.8237688910976</v>
      </c>
    </row>
    <row r="491" spans="1:3">
      <c r="A491">
        <v>459</v>
      </c>
      <c r="B491">
        <v>18301.986601181241</v>
      </c>
      <c r="C491">
        <v>-3401.986601181241</v>
      </c>
    </row>
    <row r="492" spans="1:3">
      <c r="A492">
        <v>460</v>
      </c>
      <c r="B492">
        <v>18589.33077639253</v>
      </c>
      <c r="C492">
        <v>1410.6692236074705</v>
      </c>
    </row>
    <row r="493" spans="1:3">
      <c r="A493">
        <v>461</v>
      </c>
      <c r="B493">
        <v>19959.743269235427</v>
      </c>
      <c r="C493">
        <v>-3559.7432692354269</v>
      </c>
    </row>
    <row r="494" spans="1:3">
      <c r="A494">
        <v>462</v>
      </c>
      <c r="B494">
        <v>19897.847165490821</v>
      </c>
      <c r="C494">
        <v>-2197.8471654908208</v>
      </c>
    </row>
    <row r="495" spans="1:3">
      <c r="A495">
        <v>463</v>
      </c>
      <c r="B495">
        <v>19719.444374543418</v>
      </c>
      <c r="C495">
        <v>-219.44437454341823</v>
      </c>
    </row>
    <row r="496" spans="1:3">
      <c r="A496">
        <v>464</v>
      </c>
      <c r="B496">
        <v>22990.4063705712</v>
      </c>
      <c r="C496">
        <v>-2790.4063705711997</v>
      </c>
    </row>
    <row r="497" spans="1:3">
      <c r="A497">
        <v>465</v>
      </c>
      <c r="B497">
        <v>19749.608482864573</v>
      </c>
      <c r="C497">
        <v>1650.3915171354274</v>
      </c>
    </row>
    <row r="498" spans="1:3">
      <c r="A498">
        <v>466</v>
      </c>
      <c r="B498">
        <v>16957.486651181302</v>
      </c>
      <c r="C498">
        <v>2942.5133488186984</v>
      </c>
    </row>
    <row r="499" spans="1:3">
      <c r="A499">
        <v>467</v>
      </c>
      <c r="B499">
        <v>17261.526072961598</v>
      </c>
      <c r="C499">
        <v>1738.4739270384016</v>
      </c>
    </row>
    <row r="500" spans="1:3">
      <c r="A500">
        <v>468</v>
      </c>
      <c r="B500">
        <v>15994.575226622785</v>
      </c>
      <c r="C500">
        <v>3105.4247733772154</v>
      </c>
    </row>
    <row r="501" spans="1:3">
      <c r="A501">
        <v>469</v>
      </c>
      <c r="B501">
        <v>16800.846703014984</v>
      </c>
      <c r="C501">
        <v>2299.1532969850159</v>
      </c>
    </row>
    <row r="502" spans="1:3">
      <c r="A502">
        <v>470</v>
      </c>
      <c r="B502">
        <v>17354.042296551197</v>
      </c>
      <c r="C502">
        <v>2745.9577034488029</v>
      </c>
    </row>
    <row r="503" spans="1:3">
      <c r="A503">
        <v>471</v>
      </c>
      <c r="B503">
        <v>19381.38406343315</v>
      </c>
      <c r="C503">
        <v>518.61593656685</v>
      </c>
    </row>
    <row r="504" spans="1:3">
      <c r="A504">
        <v>472</v>
      </c>
      <c r="B504">
        <v>22265.215520911501</v>
      </c>
      <c r="C504">
        <v>-2665.2155209115008</v>
      </c>
    </row>
    <row r="505" spans="1:3">
      <c r="A505">
        <v>473</v>
      </c>
      <c r="B505">
        <v>20978.949057469203</v>
      </c>
      <c r="C505">
        <v>2221.0509425307973</v>
      </c>
    </row>
    <row r="506" spans="1:3">
      <c r="A506">
        <v>474</v>
      </c>
      <c r="B506">
        <v>24303.761572443673</v>
      </c>
      <c r="C506">
        <v>5496.2384275563272</v>
      </c>
    </row>
    <row r="507" spans="1:3">
      <c r="A507">
        <v>475</v>
      </c>
      <c r="B507">
        <v>15421.424095324277</v>
      </c>
      <c r="C507">
        <v>-1621.424095324277</v>
      </c>
    </row>
    <row r="508" spans="1:3">
      <c r="A508">
        <v>476</v>
      </c>
      <c r="B508">
        <v>14659.855728148174</v>
      </c>
      <c r="C508">
        <v>-1359.8557281481735</v>
      </c>
    </row>
    <row r="509" spans="1:3">
      <c r="A509">
        <v>477</v>
      </c>
      <c r="B509">
        <v>18918.50133592965</v>
      </c>
      <c r="C509">
        <v>-2218.5013359296499</v>
      </c>
    </row>
    <row r="510" spans="1:3">
      <c r="A510">
        <v>478</v>
      </c>
      <c r="B510">
        <v>10337.889088572263</v>
      </c>
      <c r="C510">
        <v>1662.1109114277369</v>
      </c>
    </row>
    <row r="511" spans="1:3">
      <c r="A511">
        <v>479</v>
      </c>
      <c r="B511">
        <v>18207.800415520622</v>
      </c>
      <c r="C511">
        <v>-3607.8004155206218</v>
      </c>
    </row>
    <row r="512" spans="1:3">
      <c r="A512">
        <v>480</v>
      </c>
      <c r="B512">
        <v>21235.104885421519</v>
      </c>
      <c r="C512">
        <v>164.8951145784813</v>
      </c>
    </row>
    <row r="513" spans="1:3">
      <c r="A513">
        <v>481</v>
      </c>
      <c r="B513">
        <v>22523.5702842762</v>
      </c>
      <c r="C513">
        <v>476.42971572379975</v>
      </c>
    </row>
    <row r="514" spans="1:3">
      <c r="A514">
        <v>482</v>
      </c>
      <c r="B514">
        <v>26951.497979075641</v>
      </c>
      <c r="C514">
        <v>-3251.4979790756406</v>
      </c>
    </row>
    <row r="515" spans="1:3">
      <c r="A515">
        <v>483</v>
      </c>
      <c r="B515">
        <v>28632.298010190738</v>
      </c>
      <c r="C515">
        <v>-3632.2980101907378</v>
      </c>
    </row>
    <row r="516" spans="1:3">
      <c r="A516">
        <v>484</v>
      </c>
      <c r="B516">
        <v>20064.443033034979</v>
      </c>
      <c r="C516">
        <v>1735.5569669650213</v>
      </c>
    </row>
    <row r="517" spans="1:3">
      <c r="A517">
        <v>485</v>
      </c>
      <c r="B517">
        <v>18559.80359255083</v>
      </c>
      <c r="C517">
        <v>2040.1964074491698</v>
      </c>
    </row>
    <row r="518" spans="1:3">
      <c r="A518">
        <v>486</v>
      </c>
      <c r="B518">
        <v>22276.723558644655</v>
      </c>
      <c r="C518">
        <v>-1076.723558644655</v>
      </c>
    </row>
    <row r="519" spans="1:3">
      <c r="A519">
        <v>487</v>
      </c>
      <c r="B519">
        <v>19609.752258643181</v>
      </c>
      <c r="C519">
        <v>-509.75225864318054</v>
      </c>
    </row>
    <row r="520" spans="1:3">
      <c r="A520">
        <v>488</v>
      </c>
      <c r="B520">
        <v>19954.438582666109</v>
      </c>
      <c r="C520">
        <v>645.56141733389086</v>
      </c>
    </row>
    <row r="521" spans="1:3">
      <c r="A521">
        <v>489</v>
      </c>
      <c r="B521">
        <v>10425.289499031323</v>
      </c>
      <c r="C521">
        <v>4774.7105009686766</v>
      </c>
    </row>
    <row r="522" spans="1:3">
      <c r="A522">
        <v>490</v>
      </c>
      <c r="B522">
        <v>7332.5489282947474</v>
      </c>
      <c r="C522">
        <v>-332.54892829474738</v>
      </c>
    </row>
    <row r="523" spans="1:3">
      <c r="A523">
        <v>491</v>
      </c>
      <c r="B523">
        <v>2396.095227372869</v>
      </c>
      <c r="C523">
        <v>5703.904772627131</v>
      </c>
    </row>
    <row r="524" spans="1:3">
      <c r="A524">
        <v>492</v>
      </c>
      <c r="B524">
        <v>12864.80814034184</v>
      </c>
      <c r="C524">
        <v>735.19185965815996</v>
      </c>
    </row>
    <row r="525" spans="1:3">
      <c r="A525">
        <v>493</v>
      </c>
      <c r="B525">
        <v>15369.507619169337</v>
      </c>
      <c r="C525">
        <v>4730.492380830663</v>
      </c>
    </row>
    <row r="526" spans="1:3">
      <c r="A526">
        <v>494</v>
      </c>
      <c r="B526">
        <v>18274.229208278539</v>
      </c>
      <c r="C526">
        <v>3525.7707917214611</v>
      </c>
    </row>
    <row r="527" spans="1:3">
      <c r="A527">
        <v>495</v>
      </c>
      <c r="B527">
        <v>17582.855141929453</v>
      </c>
      <c r="C527">
        <v>6917.1448580705473</v>
      </c>
    </row>
    <row r="528" spans="1:3">
      <c r="A528">
        <v>496</v>
      </c>
      <c r="B528">
        <v>13840.03490598116</v>
      </c>
      <c r="C528">
        <v>9259.9650940188403</v>
      </c>
    </row>
    <row r="529" spans="1:3">
      <c r="A529">
        <v>497</v>
      </c>
      <c r="B529">
        <v>11963.575149076569</v>
      </c>
      <c r="C529">
        <v>7736.4248509234312</v>
      </c>
    </row>
    <row r="530" spans="1:3">
      <c r="A530">
        <v>498</v>
      </c>
      <c r="B530">
        <v>17937.594919321251</v>
      </c>
      <c r="C530">
        <v>362.40508067874907</v>
      </c>
    </row>
    <row r="531" spans="1:3">
      <c r="A531">
        <v>499</v>
      </c>
      <c r="B531">
        <v>19117.777979904316</v>
      </c>
      <c r="C531">
        <v>2082.2220200956835</v>
      </c>
    </row>
    <row r="532" spans="1:3">
      <c r="A532">
        <v>500</v>
      </c>
      <c r="B532">
        <v>16156.914701854499</v>
      </c>
      <c r="C532">
        <v>1343.0852981455009</v>
      </c>
    </row>
    <row r="533" spans="1:3">
      <c r="A533">
        <v>501</v>
      </c>
      <c r="B533">
        <v>18746.549516859544</v>
      </c>
      <c r="C533">
        <v>-1946.5495168595444</v>
      </c>
    </row>
    <row r="534" spans="1:3">
      <c r="A534">
        <v>502</v>
      </c>
      <c r="B534">
        <v>22497.697058837919</v>
      </c>
      <c r="C534">
        <v>-97.69705883791903</v>
      </c>
    </row>
    <row r="535" spans="1:3">
      <c r="A535">
        <v>503</v>
      </c>
      <c r="B535">
        <v>20944.188381413958</v>
      </c>
      <c r="C535">
        <v>-344.18838141395827</v>
      </c>
    </row>
    <row r="536" spans="1:3">
      <c r="A536">
        <v>504</v>
      </c>
      <c r="B536">
        <v>27482.006287251352</v>
      </c>
      <c r="C536">
        <v>-3582.0062872513518</v>
      </c>
    </row>
    <row r="537" spans="1:3">
      <c r="A537">
        <v>505</v>
      </c>
      <c r="B537">
        <v>26040.68691952078</v>
      </c>
      <c r="C537">
        <v>-4040.6869195207801</v>
      </c>
    </row>
    <row r="538" spans="1:3" ht="15.75" thickBot="1">
      <c r="A538" s="13">
        <v>506</v>
      </c>
      <c r="B538" s="13">
        <v>21899.871628942055</v>
      </c>
      <c r="C538" s="13">
        <v>-9999.8716289420554</v>
      </c>
    </row>
  </sheetData>
  <autoFilter ref="K2:N2" xr:uid="{9B20C646-6771-45C6-9EC0-130E13278299}">
    <sortState xmlns:xlrd2="http://schemas.microsoft.com/office/spreadsheetml/2017/richdata2" ref="K3:N12">
      <sortCondition ref="L2"/>
    </sortState>
  </autoFilter>
  <mergeCells count="3">
    <mergeCell ref="K1:O1"/>
    <mergeCell ref="K17:L17"/>
    <mergeCell ref="K18:L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AF351-AE40-4FAC-AC29-060D43226A27}">
  <dimension ref="A1:Q537"/>
  <sheetViews>
    <sheetView tabSelected="1" topLeftCell="A31" workbookViewId="0">
      <selection activeCell="J44" sqref="J44"/>
    </sheetView>
  </sheetViews>
  <sheetFormatPr defaultRowHeight="15"/>
  <cols>
    <col min="1" max="1" width="26.5703125" bestFit="1" customWidth="1"/>
    <col min="2" max="2" width="10.140625" customWidth="1"/>
    <col min="3" max="3" width="13" customWidth="1"/>
    <col min="6" max="6" width="12.140625" customWidth="1"/>
    <col min="8" max="8" width="10.5703125" customWidth="1"/>
    <col min="9" max="9" width="11.28515625" customWidth="1"/>
    <col min="11" max="11" width="2.42578125" style="51" customWidth="1"/>
    <col min="12" max="12" width="14.140625" customWidth="1"/>
    <col min="14" max="14" width="11.85546875" customWidth="1"/>
  </cols>
  <sheetData>
    <row r="1" spans="1:17">
      <c r="A1" t="s">
        <v>127</v>
      </c>
    </row>
    <row r="2" spans="1:17" ht="15.75" thickBot="1"/>
    <row r="3" spans="1:17">
      <c r="A3" s="64" t="s">
        <v>128</v>
      </c>
      <c r="B3" s="64"/>
    </row>
    <row r="4" spans="1:17" ht="15.75" thickBot="1">
      <c r="A4" s="61" t="s">
        <v>129</v>
      </c>
      <c r="B4" s="61">
        <v>0.83283577344273507</v>
      </c>
      <c r="L4" s="58" t="s">
        <v>208</v>
      </c>
      <c r="M4" s="58"/>
      <c r="N4" s="58"/>
      <c r="O4" s="58"/>
    </row>
    <row r="5" spans="1:17">
      <c r="A5" s="61" t="s">
        <v>130</v>
      </c>
      <c r="B5" s="61">
        <v>0.69361542552595867</v>
      </c>
      <c r="L5" s="68" t="s">
        <v>217</v>
      </c>
      <c r="M5" s="69" t="s">
        <v>218</v>
      </c>
      <c r="N5" s="70" t="s">
        <v>50</v>
      </c>
      <c r="O5" t="s">
        <v>10</v>
      </c>
    </row>
    <row r="6" spans="1:17">
      <c r="A6" s="61" t="s">
        <v>131</v>
      </c>
      <c r="B6" s="61">
        <v>0.68868368187245299</v>
      </c>
      <c r="L6" s="73" t="s">
        <v>129</v>
      </c>
      <c r="M6" s="66">
        <v>0.83283577344273507</v>
      </c>
      <c r="N6" s="72" t="s">
        <v>209</v>
      </c>
      <c r="O6" t="s">
        <v>10</v>
      </c>
    </row>
    <row r="7" spans="1:17" ht="15.75">
      <c r="A7" s="61" t="s">
        <v>27</v>
      </c>
      <c r="B7" s="61">
        <v>5131.5911130747036</v>
      </c>
      <c r="L7" s="73" t="s">
        <v>130</v>
      </c>
      <c r="M7" s="66">
        <v>0.69361542552595867</v>
      </c>
      <c r="N7" s="72" t="s">
        <v>210</v>
      </c>
      <c r="O7" t="s">
        <v>10</v>
      </c>
    </row>
    <row r="8" spans="1:17" ht="15.75" thickBot="1">
      <c r="A8" s="62" t="s">
        <v>132</v>
      </c>
      <c r="B8" s="62">
        <v>506</v>
      </c>
      <c r="L8" s="73" t="s">
        <v>131</v>
      </c>
      <c r="M8" s="66">
        <v>0.68868368187245299</v>
      </c>
      <c r="N8" s="72" t="s">
        <v>211</v>
      </c>
      <c r="O8" t="s">
        <v>10</v>
      </c>
    </row>
    <row r="9" spans="1:17" ht="15.75">
      <c r="L9" s="73" t="s">
        <v>27</v>
      </c>
      <c r="M9" s="66">
        <v>5131.5911130747036</v>
      </c>
      <c r="N9" s="72" t="s">
        <v>212</v>
      </c>
      <c r="O9" t="s">
        <v>10</v>
      </c>
    </row>
    <row r="10" spans="1:17" ht="15.75" thickBot="1">
      <c r="A10" t="s">
        <v>133</v>
      </c>
      <c r="L10" s="74" t="s">
        <v>132</v>
      </c>
      <c r="M10" s="75">
        <v>506</v>
      </c>
      <c r="N10" s="77" t="s">
        <v>213</v>
      </c>
      <c r="O10" t="s">
        <v>10</v>
      </c>
    </row>
    <row r="11" spans="1:17">
      <c r="A11" s="63"/>
      <c r="B11" s="63" t="s">
        <v>138</v>
      </c>
      <c r="C11" s="63" t="s">
        <v>139</v>
      </c>
      <c r="D11" s="63" t="s">
        <v>140</v>
      </c>
      <c r="E11" s="63" t="s">
        <v>141</v>
      </c>
      <c r="F11" s="63" t="s">
        <v>142</v>
      </c>
      <c r="O11" t="s">
        <v>10</v>
      </c>
    </row>
    <row r="12" spans="1:17">
      <c r="A12" s="61" t="s">
        <v>134</v>
      </c>
      <c r="B12" s="61">
        <v>8</v>
      </c>
      <c r="C12" s="61">
        <v>29628681421.181488</v>
      </c>
      <c r="D12" s="61">
        <v>3703585177.647686</v>
      </c>
      <c r="E12" s="61">
        <v>140.64304113473273</v>
      </c>
      <c r="F12" s="61">
        <v>1.910968779932886E-122</v>
      </c>
      <c r="L12" s="65" t="s">
        <v>142</v>
      </c>
      <c r="M12" s="61">
        <v>1.910968779932886E-122</v>
      </c>
      <c r="N12" t="s">
        <v>214</v>
      </c>
    </row>
    <row r="13" spans="1:17" ht="15.75" thickBot="1">
      <c r="A13" s="61" t="s">
        <v>135</v>
      </c>
      <c r="B13" s="61">
        <v>497</v>
      </c>
      <c r="C13" s="61">
        <v>13087613993.838274</v>
      </c>
      <c r="D13" s="61">
        <v>26333227.351787273</v>
      </c>
      <c r="E13" s="61"/>
      <c r="F13" s="61"/>
    </row>
    <row r="14" spans="1:17" ht="15.75" thickBot="1">
      <c r="A14" s="62" t="s">
        <v>136</v>
      </c>
      <c r="B14" s="62">
        <v>505</v>
      </c>
      <c r="C14" s="62">
        <v>42716295415.01976</v>
      </c>
      <c r="D14" s="62"/>
      <c r="E14" s="62"/>
      <c r="F14" s="62"/>
      <c r="L14" s="68" t="s">
        <v>228</v>
      </c>
      <c r="M14" s="69" t="s">
        <v>219</v>
      </c>
      <c r="N14" s="69" t="s">
        <v>50</v>
      </c>
      <c r="O14" s="69" t="s">
        <v>145</v>
      </c>
      <c r="P14" s="70" t="s">
        <v>229</v>
      </c>
      <c r="Q14" t="s">
        <v>10</v>
      </c>
    </row>
    <row r="15" spans="1:17" ht="15.75" thickBot="1">
      <c r="L15" s="71" t="s">
        <v>215</v>
      </c>
      <c r="M15" s="1">
        <v>29428.473000000002</v>
      </c>
      <c r="N15" s="1" t="s">
        <v>216</v>
      </c>
      <c r="O15" s="67">
        <v>1.85E-9</v>
      </c>
      <c r="P15" s="72" t="str">
        <f>IF(O15&lt;0.05,"Yes","No")</f>
        <v>Yes</v>
      </c>
    </row>
    <row r="16" spans="1:17">
      <c r="A16" s="63"/>
      <c r="B16" s="63" t="s">
        <v>143</v>
      </c>
      <c r="C16" s="63" t="s">
        <v>27</v>
      </c>
      <c r="D16" s="63" t="s">
        <v>144</v>
      </c>
      <c r="E16" s="63" t="s">
        <v>145</v>
      </c>
      <c r="F16" s="63" t="s">
        <v>146</v>
      </c>
      <c r="G16" s="63" t="s">
        <v>147</v>
      </c>
      <c r="H16" s="63" t="s">
        <v>148</v>
      </c>
      <c r="I16" s="63" t="s">
        <v>149</v>
      </c>
      <c r="L16" s="73" t="s">
        <v>6</v>
      </c>
      <c r="M16" s="66">
        <v>3293.4960428630297</v>
      </c>
      <c r="N16" s="1" t="s">
        <v>220</v>
      </c>
      <c r="O16" s="66">
        <v>1.2162875189714347E-2</v>
      </c>
      <c r="P16" s="72" t="str">
        <f t="shared" ref="P16:P23" si="0">IF(O16&lt;0.05,"Yes","No")</f>
        <v>Yes</v>
      </c>
      <c r="Q16" t="s">
        <v>10</v>
      </c>
    </row>
    <row r="17" spans="1:16">
      <c r="A17" s="61" t="s">
        <v>137</v>
      </c>
      <c r="B17" s="61">
        <v>29428.473493945752</v>
      </c>
      <c r="C17" s="61">
        <v>4804.7286243169019</v>
      </c>
      <c r="D17" s="61">
        <v>6.1248981565800005</v>
      </c>
      <c r="E17" s="61">
        <v>1.8459738422387624E-9</v>
      </c>
      <c r="F17" s="61">
        <v>19988.389590408064</v>
      </c>
      <c r="G17" s="61">
        <v>38868.557397483441</v>
      </c>
      <c r="H17" s="61">
        <v>19988.389590408064</v>
      </c>
      <c r="I17" s="61">
        <v>38868.557397483441</v>
      </c>
      <c r="L17" s="73" t="s">
        <v>5</v>
      </c>
      <c r="M17" s="66">
        <v>130.7100066821819</v>
      </c>
      <c r="N17" s="1" t="s">
        <v>221</v>
      </c>
      <c r="O17" s="66">
        <v>3.876166870197767E-2</v>
      </c>
      <c r="P17" s="72" t="str">
        <f t="shared" si="0"/>
        <v>Yes</v>
      </c>
    </row>
    <row r="18" spans="1:16">
      <c r="A18" s="61" t="s">
        <v>6</v>
      </c>
      <c r="B18" s="61">
        <v>3293.4960428630297</v>
      </c>
      <c r="C18" s="61">
        <v>1308.7054966334024</v>
      </c>
      <c r="D18" s="61">
        <v>2.5166059524739746</v>
      </c>
      <c r="E18" s="61">
        <v>1.2162875189714347E-2</v>
      </c>
      <c r="F18" s="61">
        <v>722.2187326909675</v>
      </c>
      <c r="G18" s="61">
        <v>5864.7733530350924</v>
      </c>
      <c r="H18" s="61">
        <v>722.2187326909675</v>
      </c>
      <c r="I18" s="61">
        <v>5864.7733530350924</v>
      </c>
      <c r="L18" s="73" t="s">
        <v>25</v>
      </c>
      <c r="M18" s="66">
        <v>-10272.705081509373</v>
      </c>
      <c r="N18" s="1" t="s">
        <v>222</v>
      </c>
      <c r="O18" s="66">
        <v>8.5457182892120023E-3</v>
      </c>
      <c r="P18" s="72" t="str">
        <f t="shared" si="0"/>
        <v>Yes</v>
      </c>
    </row>
    <row r="19" spans="1:16">
      <c r="A19" s="61" t="s">
        <v>5</v>
      </c>
      <c r="B19" s="61">
        <v>130.7100066821819</v>
      </c>
      <c r="C19" s="61">
        <v>63.077822553176503</v>
      </c>
      <c r="D19" s="61">
        <v>2.0722022636718225</v>
      </c>
      <c r="E19" s="61">
        <v>3.876166870197767E-2</v>
      </c>
      <c r="F19" s="61">
        <v>6.7779422694689373</v>
      </c>
      <c r="G19" s="61">
        <v>254.64207109489485</v>
      </c>
      <c r="H19" s="61">
        <v>6.7779422694689373</v>
      </c>
      <c r="I19" s="61">
        <v>254.64207109489485</v>
      </c>
      <c r="L19" s="73" t="s">
        <v>7</v>
      </c>
      <c r="M19" s="66">
        <v>261.50642300182005</v>
      </c>
      <c r="N19" s="1" t="s">
        <v>223</v>
      </c>
      <c r="O19" s="66">
        <v>1.3288674405347126E-4</v>
      </c>
      <c r="P19" s="72" t="str">
        <f t="shared" si="0"/>
        <v>Yes</v>
      </c>
    </row>
    <row r="20" spans="1:16" ht="15.75">
      <c r="A20" s="61" t="s">
        <v>25</v>
      </c>
      <c r="B20" s="61">
        <v>-10272.705081509373</v>
      </c>
      <c r="C20" s="61">
        <v>3890.8492221425809</v>
      </c>
      <c r="D20" s="61">
        <v>-2.640221837188665</v>
      </c>
      <c r="E20" s="61">
        <v>8.5457182892120023E-3</v>
      </c>
      <c r="F20" s="61">
        <v>-17917.245696591934</v>
      </c>
      <c r="G20" s="61">
        <v>-2628.1644664268142</v>
      </c>
      <c r="H20" s="61">
        <v>-17917.245696591934</v>
      </c>
      <c r="I20" s="61">
        <v>-2628.1644664268142</v>
      </c>
      <c r="L20" s="73" t="s">
        <v>8</v>
      </c>
      <c r="M20" s="66">
        <v>-14.452345036481903</v>
      </c>
      <c r="N20" s="1" t="s">
        <v>224</v>
      </c>
      <c r="O20" s="66">
        <v>2.360718130931446E-4</v>
      </c>
      <c r="P20" s="72" t="str">
        <f t="shared" si="0"/>
        <v>Yes</v>
      </c>
    </row>
    <row r="21" spans="1:16">
      <c r="A21" s="61" t="s">
        <v>7</v>
      </c>
      <c r="B21" s="61">
        <v>261.50642300182005</v>
      </c>
      <c r="C21" s="61">
        <v>67.901840853028077</v>
      </c>
      <c r="D21" s="61">
        <v>3.8512420240247169</v>
      </c>
      <c r="E21" s="61">
        <v>1.3288674405347126E-4</v>
      </c>
      <c r="F21" s="61">
        <v>128.09637532230511</v>
      </c>
      <c r="G21" s="61">
        <v>394.916470681335</v>
      </c>
      <c r="H21" s="61">
        <v>128.09637532230511</v>
      </c>
      <c r="I21" s="61">
        <v>394.916470681335</v>
      </c>
      <c r="L21" s="73" t="s">
        <v>1</v>
      </c>
      <c r="M21" s="66">
        <v>-1071.7024726944921</v>
      </c>
      <c r="N21" s="1" t="s">
        <v>225</v>
      </c>
      <c r="O21" s="66">
        <v>7.0825099064793248E-15</v>
      </c>
      <c r="P21" s="72" t="str">
        <f t="shared" si="0"/>
        <v>Yes</v>
      </c>
    </row>
    <row r="22" spans="1:16">
      <c r="A22" s="61" t="s">
        <v>8</v>
      </c>
      <c r="B22" s="61">
        <v>-14.452345036481903</v>
      </c>
      <c r="C22" s="61">
        <v>3.9018774717523184</v>
      </c>
      <c r="D22" s="61">
        <v>-3.7039464055726512</v>
      </c>
      <c r="E22" s="61">
        <v>2.360718130931446E-4</v>
      </c>
      <c r="F22" s="61">
        <v>-22.118553389696057</v>
      </c>
      <c r="G22" s="61">
        <v>-6.7861366832677481</v>
      </c>
      <c r="H22" s="61">
        <v>-22.118553389696057</v>
      </c>
      <c r="I22" s="61">
        <v>-6.7861366832677481</v>
      </c>
      <c r="L22" s="73" t="s">
        <v>4</v>
      </c>
      <c r="M22" s="66">
        <v>4125.4689590847383</v>
      </c>
      <c r="N22" s="1" t="s">
        <v>226</v>
      </c>
      <c r="O22" s="66">
        <v>3.6896907850980843E-19</v>
      </c>
      <c r="P22" s="72" t="str">
        <f t="shared" si="0"/>
        <v>Yes</v>
      </c>
    </row>
    <row r="23" spans="1:16" ht="15.75" thickBot="1">
      <c r="A23" s="61" t="s">
        <v>1</v>
      </c>
      <c r="B23" s="61">
        <v>-1071.7024726944921</v>
      </c>
      <c r="C23" s="61">
        <v>133.45352921377147</v>
      </c>
      <c r="D23" s="61">
        <v>-8.0305292711876817</v>
      </c>
      <c r="E23" s="61">
        <v>7.0825099064793248E-15</v>
      </c>
      <c r="F23" s="61">
        <v>-1333.9051092024656</v>
      </c>
      <c r="G23" s="61">
        <v>-809.49983618651856</v>
      </c>
      <c r="H23" s="61">
        <v>-1333.9051092024656</v>
      </c>
      <c r="I23" s="61">
        <v>-809.49983618651856</v>
      </c>
      <c r="L23" s="74" t="s">
        <v>2</v>
      </c>
      <c r="M23" s="75">
        <v>-605.15928203540591</v>
      </c>
      <c r="N23" s="76" t="s">
        <v>227</v>
      </c>
      <c r="O23" s="75">
        <v>5.4184429851607882E-27</v>
      </c>
      <c r="P23" s="77" t="str">
        <f t="shared" si="0"/>
        <v>Yes</v>
      </c>
    </row>
    <row r="24" spans="1:16">
      <c r="A24" s="61" t="s">
        <v>4</v>
      </c>
      <c r="B24" s="61">
        <v>4125.4689590847383</v>
      </c>
      <c r="C24" s="61">
        <v>442.48544039972251</v>
      </c>
      <c r="D24" s="61">
        <v>9.3234004611721577</v>
      </c>
      <c r="E24" s="61">
        <v>3.6896907850980843E-19</v>
      </c>
      <c r="F24" s="61">
        <v>3256.0963035039931</v>
      </c>
      <c r="G24" s="61">
        <v>4994.8416146654836</v>
      </c>
      <c r="H24" s="61">
        <v>3256.0963035039931</v>
      </c>
      <c r="I24" s="61">
        <v>4994.8416146654836</v>
      </c>
    </row>
    <row r="25" spans="1:16" ht="15.75" thickBot="1">
      <c r="A25" s="62" t="s">
        <v>2</v>
      </c>
      <c r="B25" s="62">
        <v>-605.15928203540591</v>
      </c>
      <c r="C25" s="62">
        <v>52.980100148264569</v>
      </c>
      <c r="D25" s="62">
        <v>-11.422388412665708</v>
      </c>
      <c r="E25" s="62">
        <v>5.4184429851607882E-27</v>
      </c>
      <c r="F25" s="62">
        <v>-709.25186035215791</v>
      </c>
      <c r="G25" s="62">
        <v>-501.06670371865397</v>
      </c>
      <c r="H25" s="62">
        <v>-709.25186035215791</v>
      </c>
      <c r="I25" s="62">
        <v>-501.06670371865397</v>
      </c>
    </row>
    <row r="26" spans="1:16">
      <c r="L26" t="s">
        <v>230</v>
      </c>
    </row>
    <row r="28" spans="1:16">
      <c r="L28" s="1" t="s">
        <v>231</v>
      </c>
      <c r="M28" s="1">
        <v>0.68832795252757006</v>
      </c>
      <c r="N28" s="1" t="s">
        <v>233</v>
      </c>
    </row>
    <row r="29" spans="1:16">
      <c r="A29" t="s">
        <v>150</v>
      </c>
      <c r="L29" s="1" t="s">
        <v>232</v>
      </c>
      <c r="M29" s="66">
        <v>0.68868368187245299</v>
      </c>
      <c r="N29" s="1" t="s">
        <v>234</v>
      </c>
    </row>
    <row r="30" spans="1:16" ht="15.75" thickBot="1">
      <c r="L30" s="78" t="s">
        <v>50</v>
      </c>
      <c r="M30" t="s">
        <v>235</v>
      </c>
    </row>
    <row r="31" spans="1:16">
      <c r="A31" s="63" t="s">
        <v>50</v>
      </c>
      <c r="B31" s="63" t="s">
        <v>151</v>
      </c>
      <c r="C31" s="63" t="s">
        <v>152</v>
      </c>
    </row>
    <row r="32" spans="1:16">
      <c r="A32" s="61">
        <v>1</v>
      </c>
      <c r="B32" s="61">
        <v>30048.887336899526</v>
      </c>
      <c r="C32" s="61">
        <v>-6048.8873368995264</v>
      </c>
      <c r="L32" t="s">
        <v>236</v>
      </c>
    </row>
    <row r="33" spans="1:14" ht="15.75" thickBot="1">
      <c r="A33" s="61">
        <v>2</v>
      </c>
      <c r="B33" s="61">
        <v>27040.984617472368</v>
      </c>
      <c r="C33" s="61">
        <v>-5440.984617472368</v>
      </c>
    </row>
    <row r="34" spans="1:14">
      <c r="A34" s="61">
        <v>3</v>
      </c>
      <c r="B34" s="61">
        <v>32698.964537784406</v>
      </c>
      <c r="C34" s="61">
        <v>2001.0354622155937</v>
      </c>
      <c r="L34" s="68" t="s">
        <v>228</v>
      </c>
      <c r="M34" s="69" t="s">
        <v>219</v>
      </c>
    </row>
    <row r="35" spans="1:14" ht="15.75">
      <c r="A35" s="61">
        <v>4</v>
      </c>
      <c r="B35" s="61">
        <v>31143.069486823264</v>
      </c>
      <c r="C35" s="61">
        <v>2256.930513176736</v>
      </c>
      <c r="L35" s="73" t="s">
        <v>25</v>
      </c>
      <c r="M35" s="66">
        <v>-10272.705081509373</v>
      </c>
      <c r="N35" t="s">
        <v>237</v>
      </c>
    </row>
    <row r="36" spans="1:14">
      <c r="A36" s="61">
        <v>5</v>
      </c>
      <c r="B36" s="61">
        <v>30588.087345262767</v>
      </c>
      <c r="C36" s="61">
        <v>5611.9126547372325</v>
      </c>
      <c r="L36" s="73" t="s">
        <v>1</v>
      </c>
      <c r="M36" s="66">
        <v>-1071.7024726944921</v>
      </c>
    </row>
    <row r="37" spans="1:14">
      <c r="A37" s="61">
        <v>6</v>
      </c>
      <c r="B37" s="61">
        <v>27850.952537372094</v>
      </c>
      <c r="C37" s="61">
        <v>849.0474626279065</v>
      </c>
      <c r="L37" s="73" t="s">
        <v>2</v>
      </c>
      <c r="M37" s="66">
        <v>-605.15928203540591</v>
      </c>
    </row>
    <row r="38" spans="1:14">
      <c r="A38" s="61">
        <v>7</v>
      </c>
      <c r="B38" s="61">
        <v>25070.896878394688</v>
      </c>
      <c r="C38" s="61">
        <v>-2170.8968783946875</v>
      </c>
      <c r="L38" s="73" t="s">
        <v>8</v>
      </c>
      <c r="M38" s="66">
        <v>-14.452345036481903</v>
      </c>
    </row>
    <row r="39" spans="1:14">
      <c r="A39" s="61">
        <v>8</v>
      </c>
      <c r="B39" s="61">
        <v>22635.882869214911</v>
      </c>
      <c r="C39" s="61">
        <v>4464.1171307850891</v>
      </c>
      <c r="L39" s="73" t="s">
        <v>5</v>
      </c>
      <c r="M39" s="66">
        <v>130.7100066821819</v>
      </c>
    </row>
    <row r="40" spans="1:14">
      <c r="A40" s="61">
        <v>9</v>
      </c>
      <c r="B40" s="61">
        <v>14008.833447680056</v>
      </c>
      <c r="C40" s="61">
        <v>2491.1665523199445</v>
      </c>
      <c r="L40" s="73" t="s">
        <v>7</v>
      </c>
      <c r="M40" s="66">
        <v>261.50642300182005</v>
      </c>
    </row>
    <row r="41" spans="1:14">
      <c r="A41" s="61">
        <v>10</v>
      </c>
      <c r="B41" s="61">
        <v>22847.444015889225</v>
      </c>
      <c r="C41" s="61">
        <v>-3947.4440158892248</v>
      </c>
      <c r="L41" s="73" t="s">
        <v>6</v>
      </c>
      <c r="M41" s="66">
        <v>3293.4960428630297</v>
      </c>
    </row>
    <row r="42" spans="1:14" ht="15.75" thickBot="1">
      <c r="A42" s="61">
        <v>11</v>
      </c>
      <c r="B42" s="61">
        <v>22635.614010409718</v>
      </c>
      <c r="C42" s="61">
        <v>-7635.6140104097176</v>
      </c>
      <c r="L42" s="74" t="s">
        <v>4</v>
      </c>
      <c r="M42" s="75">
        <v>4125.4689590847383</v>
      </c>
    </row>
    <row r="43" spans="1:14">
      <c r="A43" s="61">
        <v>12</v>
      </c>
      <c r="B43" s="61">
        <v>25087.026529594372</v>
      </c>
      <c r="C43" s="61">
        <v>-6187.0265295943718</v>
      </c>
    </row>
    <row r="44" spans="1:14">
      <c r="A44" s="61">
        <v>13</v>
      </c>
      <c r="B44" s="61">
        <v>21669.536843520942</v>
      </c>
      <c r="C44" s="61">
        <v>30.463156479057943</v>
      </c>
      <c r="L44" t="s">
        <v>238</v>
      </c>
    </row>
    <row r="45" spans="1:14">
      <c r="A45" s="61">
        <v>14</v>
      </c>
      <c r="B45" s="61">
        <v>20648.321176181675</v>
      </c>
      <c r="C45" s="61">
        <v>-248.32117618167467</v>
      </c>
    </row>
    <row r="46" spans="1:14">
      <c r="A46" s="61">
        <v>15</v>
      </c>
      <c r="B46" s="61">
        <v>20792.070150826232</v>
      </c>
      <c r="C46" s="61">
        <v>-2592.0701508262318</v>
      </c>
    </row>
    <row r="47" spans="1:14">
      <c r="A47" s="61">
        <v>16</v>
      </c>
      <c r="B47" s="61">
        <v>19872.253506387751</v>
      </c>
      <c r="C47" s="61">
        <v>27.746493612248742</v>
      </c>
      <c r="L47" t="s">
        <v>240</v>
      </c>
    </row>
    <row r="48" spans="1:14">
      <c r="A48" s="61">
        <v>17</v>
      </c>
      <c r="B48" s="61">
        <v>20536.845990643484</v>
      </c>
      <c r="C48" s="61">
        <v>2563.1540093565163</v>
      </c>
      <c r="L48" t="s">
        <v>241</v>
      </c>
    </row>
    <row r="49" spans="1:12">
      <c r="A49" s="61">
        <v>18</v>
      </c>
      <c r="B49" s="61">
        <v>17593.800118186948</v>
      </c>
      <c r="C49" s="61">
        <v>-93.800118186947657</v>
      </c>
      <c r="L49" t="s">
        <v>242</v>
      </c>
    </row>
    <row r="50" spans="1:12">
      <c r="A50" s="61">
        <v>19</v>
      </c>
      <c r="B50" s="61">
        <v>15708.807639169972</v>
      </c>
      <c r="C50" s="61">
        <v>4491.1923608300276</v>
      </c>
      <c r="L50" t="s">
        <v>244</v>
      </c>
    </row>
    <row r="51" spans="1:12">
      <c r="A51" s="61">
        <v>20</v>
      </c>
      <c r="B51" s="61">
        <v>18158.485230818394</v>
      </c>
      <c r="C51" s="61">
        <v>41.514769181605516</v>
      </c>
      <c r="L51" t="s">
        <v>243</v>
      </c>
    </row>
    <row r="52" spans="1:12">
      <c r="A52" s="61">
        <v>21</v>
      </c>
      <c r="B52" s="61">
        <v>12558.475065476066</v>
      </c>
      <c r="C52" s="61">
        <v>1041.5249345239336</v>
      </c>
    </row>
    <row r="53" spans="1:12">
      <c r="A53" s="61">
        <v>22</v>
      </c>
      <c r="B53" s="61">
        <v>18246.009394334291</v>
      </c>
      <c r="C53" s="61">
        <v>1353.9906056657092</v>
      </c>
      <c r="L53" t="s">
        <v>239</v>
      </c>
    </row>
    <row r="54" spans="1:12">
      <c r="A54" s="61">
        <v>23</v>
      </c>
      <c r="B54" s="61">
        <v>16099.325912010738</v>
      </c>
      <c r="C54" s="61">
        <v>-899.32591201073774</v>
      </c>
    </row>
    <row r="55" spans="1:12">
      <c r="A55" s="61">
        <v>24</v>
      </c>
      <c r="B55" s="61">
        <v>14313.422028868416</v>
      </c>
      <c r="C55" s="61">
        <v>186.57797113158449</v>
      </c>
    </row>
    <row r="56" spans="1:12">
      <c r="A56" s="61">
        <v>25</v>
      </c>
      <c r="B56" s="61">
        <v>16743.503046484657</v>
      </c>
      <c r="C56" s="61">
        <v>-1143.5030464846568</v>
      </c>
    </row>
    <row r="57" spans="1:12">
      <c r="A57" s="61">
        <v>26</v>
      </c>
      <c r="B57" s="61">
        <v>14998.988517954182</v>
      </c>
      <c r="C57" s="61">
        <v>-1098.9885179541816</v>
      </c>
    </row>
    <row r="58" spans="1:12">
      <c r="A58" s="61">
        <v>27</v>
      </c>
      <c r="B58" s="61">
        <v>17062.110472630207</v>
      </c>
      <c r="C58" s="61">
        <v>-462.11047263020737</v>
      </c>
    </row>
    <row r="59" spans="1:12">
      <c r="A59" s="61">
        <v>28</v>
      </c>
      <c r="B59" s="61">
        <v>16483.324341785639</v>
      </c>
      <c r="C59" s="61">
        <v>-1683.3243417856393</v>
      </c>
    </row>
    <row r="60" spans="1:12">
      <c r="A60" s="61">
        <v>29</v>
      </c>
      <c r="B60" s="61">
        <v>21227.083797374551</v>
      </c>
      <c r="C60" s="61">
        <v>-2827.0837973745511</v>
      </c>
    </row>
    <row r="61" spans="1:12">
      <c r="A61" s="61">
        <v>30</v>
      </c>
      <c r="B61" s="61">
        <v>22227.935133276478</v>
      </c>
      <c r="C61" s="61">
        <v>-1227.9351332764782</v>
      </c>
    </row>
    <row r="62" spans="1:12">
      <c r="A62" s="61">
        <v>31</v>
      </c>
      <c r="B62" s="61">
        <v>12060.525619294718</v>
      </c>
      <c r="C62" s="61">
        <v>639.47438070528187</v>
      </c>
    </row>
    <row r="63" spans="1:12">
      <c r="A63" s="61">
        <v>32</v>
      </c>
      <c r="B63" s="61">
        <v>19521.207978393541</v>
      </c>
      <c r="C63" s="61">
        <v>-5021.2079783935405</v>
      </c>
    </row>
    <row r="64" spans="1:12">
      <c r="A64" s="61">
        <v>33</v>
      </c>
      <c r="B64" s="61">
        <v>9547.384810210453</v>
      </c>
      <c r="C64" s="61">
        <v>3652.615189789547</v>
      </c>
    </row>
    <row r="65" spans="1:3">
      <c r="A65" s="61">
        <v>34</v>
      </c>
      <c r="B65" s="61">
        <v>14612.588404821938</v>
      </c>
      <c r="C65" s="61">
        <v>-1512.5884048219377</v>
      </c>
    </row>
    <row r="66" spans="1:3">
      <c r="A66" s="61">
        <v>35</v>
      </c>
      <c r="B66" s="61">
        <v>15100.45809722436</v>
      </c>
      <c r="C66" s="61">
        <v>-1600.4580972243602</v>
      </c>
    </row>
    <row r="67" spans="1:3">
      <c r="A67" s="61">
        <v>36</v>
      </c>
      <c r="B67" s="61">
        <v>22644.695457574391</v>
      </c>
      <c r="C67" s="61">
        <v>-3744.6954575743912</v>
      </c>
    </row>
    <row r="68" spans="1:3">
      <c r="A68" s="61">
        <v>37</v>
      </c>
      <c r="B68" s="61">
        <v>20994.269024502653</v>
      </c>
      <c r="C68" s="61">
        <v>-994.26902450265334</v>
      </c>
    </row>
    <row r="69" spans="1:3">
      <c r="A69" s="61">
        <v>38</v>
      </c>
      <c r="B69" s="61">
        <v>21973.613037178147</v>
      </c>
      <c r="C69" s="61">
        <v>-973.61303717814735</v>
      </c>
    </row>
    <row r="70" spans="1:3">
      <c r="A70" s="61">
        <v>39</v>
      </c>
      <c r="B70" s="61">
        <v>21256.985760020303</v>
      </c>
      <c r="C70" s="61">
        <v>3443.0142399796969</v>
      </c>
    </row>
    <row r="71" spans="1:3">
      <c r="A71" s="61">
        <v>40</v>
      </c>
      <c r="B71" s="61">
        <v>28258.885132390031</v>
      </c>
      <c r="C71" s="61">
        <v>2541.1148676099692</v>
      </c>
    </row>
    <row r="72" spans="1:3">
      <c r="A72" s="61">
        <v>41</v>
      </c>
      <c r="B72" s="61">
        <v>31247.174273228455</v>
      </c>
      <c r="C72" s="61">
        <v>3652.8257267715453</v>
      </c>
    </row>
    <row r="73" spans="1:3">
      <c r="A73" s="61">
        <v>42</v>
      </c>
      <c r="B73" s="61">
        <v>29059.121691072542</v>
      </c>
      <c r="C73" s="61">
        <v>-2459.1216910725416</v>
      </c>
    </row>
    <row r="74" spans="1:3">
      <c r="A74" s="61">
        <v>43</v>
      </c>
      <c r="B74" s="61">
        <v>26114.5696966742</v>
      </c>
      <c r="C74" s="61">
        <v>-814.5696966741998</v>
      </c>
    </row>
    <row r="75" spans="1:3">
      <c r="A75" s="61">
        <v>44</v>
      </c>
      <c r="B75" s="61">
        <v>25298.136267195187</v>
      </c>
      <c r="C75" s="61">
        <v>-598.13626719518652</v>
      </c>
    </row>
    <row r="76" spans="1:3">
      <c r="A76" s="61">
        <v>45</v>
      </c>
      <c r="B76" s="61">
        <v>24538.754764269564</v>
      </c>
      <c r="C76" s="61">
        <v>-3338.7547642695645</v>
      </c>
    </row>
    <row r="77" spans="1:3">
      <c r="A77" s="61">
        <v>46</v>
      </c>
      <c r="B77" s="61">
        <v>22338.596396302895</v>
      </c>
      <c r="C77" s="61">
        <v>-3038.5963963028953</v>
      </c>
    </row>
    <row r="78" spans="1:3">
      <c r="A78" s="61">
        <v>47</v>
      </c>
      <c r="B78" s="61">
        <v>20366.850116613892</v>
      </c>
      <c r="C78" s="61">
        <v>-366.85011661389217</v>
      </c>
    </row>
    <row r="79" spans="1:3">
      <c r="A79" s="61">
        <v>48</v>
      </c>
      <c r="B79" s="61">
        <v>20278.678815540425</v>
      </c>
      <c r="C79" s="61">
        <v>-3678.6788155404247</v>
      </c>
    </row>
    <row r="80" spans="1:3">
      <c r="A80" s="61">
        <v>49</v>
      </c>
      <c r="B80" s="61">
        <v>10730.307537313314</v>
      </c>
      <c r="C80" s="61">
        <v>3669.6924626866858</v>
      </c>
    </row>
    <row r="81" spans="1:3">
      <c r="A81" s="61">
        <v>50</v>
      </c>
      <c r="B81" s="61">
        <v>19312.420664271405</v>
      </c>
      <c r="C81" s="61">
        <v>87.579335728594742</v>
      </c>
    </row>
    <row r="82" spans="1:3">
      <c r="A82" s="61">
        <v>51</v>
      </c>
      <c r="B82" s="61">
        <v>23151.371458959838</v>
      </c>
      <c r="C82" s="61">
        <v>-3451.3714589598385</v>
      </c>
    </row>
    <row r="83" spans="1:3">
      <c r="A83" s="61">
        <v>52</v>
      </c>
      <c r="B83" s="61">
        <v>26780.957869938356</v>
      </c>
      <c r="C83" s="61">
        <v>-6280.9578699383565</v>
      </c>
    </row>
    <row r="84" spans="1:3">
      <c r="A84" s="61">
        <v>53</v>
      </c>
      <c r="B84" s="61">
        <v>29546.079756223236</v>
      </c>
      <c r="C84" s="61">
        <v>-4546.0797562232365</v>
      </c>
    </row>
    <row r="85" spans="1:3">
      <c r="A85" s="61">
        <v>54</v>
      </c>
      <c r="B85" s="61">
        <v>25533.34292992983</v>
      </c>
      <c r="C85" s="61">
        <v>-2133.3429299298296</v>
      </c>
    </row>
    <row r="86" spans="1:3">
      <c r="A86" s="61">
        <v>55</v>
      </c>
      <c r="B86" s="61">
        <v>14035.059683667034</v>
      </c>
      <c r="C86" s="61">
        <v>4864.9403163329662</v>
      </c>
    </row>
    <row r="87" spans="1:3">
      <c r="A87" s="61">
        <v>56</v>
      </c>
      <c r="B87" s="61">
        <v>32021.851400984488</v>
      </c>
      <c r="C87" s="61">
        <v>3378.1485990155124</v>
      </c>
    </row>
    <row r="88" spans="1:3">
      <c r="A88" s="61">
        <v>57</v>
      </c>
      <c r="B88" s="61">
        <v>26789.243283237502</v>
      </c>
      <c r="C88" s="61">
        <v>-2089.2432832375016</v>
      </c>
    </row>
    <row r="89" spans="1:3">
      <c r="A89" s="61">
        <v>58</v>
      </c>
      <c r="B89" s="61">
        <v>33866.63652069003</v>
      </c>
      <c r="C89" s="61">
        <v>-2266.63652069003</v>
      </c>
    </row>
    <row r="90" spans="1:3">
      <c r="A90" s="61">
        <v>59</v>
      </c>
      <c r="B90" s="61">
        <v>24481.842031202643</v>
      </c>
      <c r="C90" s="61">
        <v>-1181.8420312026428</v>
      </c>
    </row>
    <row r="91" spans="1:3">
      <c r="A91" s="61">
        <v>60</v>
      </c>
      <c r="B91" s="61">
        <v>22747.143180233958</v>
      </c>
      <c r="C91" s="61">
        <v>-3147.1431802339575</v>
      </c>
    </row>
    <row r="92" spans="1:3">
      <c r="A92" s="61">
        <v>61</v>
      </c>
      <c r="B92" s="61">
        <v>20227.294223589026</v>
      </c>
      <c r="C92" s="61">
        <v>-1527.2942235890259</v>
      </c>
    </row>
    <row r="93" spans="1:3">
      <c r="A93" s="61">
        <v>62</v>
      </c>
      <c r="B93" s="61">
        <v>21270.700189216157</v>
      </c>
      <c r="C93" s="61">
        <v>-5270.700189216157</v>
      </c>
    </row>
    <row r="94" spans="1:3">
      <c r="A94" s="61">
        <v>63</v>
      </c>
      <c r="B94" s="61">
        <v>27114.823056687732</v>
      </c>
      <c r="C94" s="61">
        <v>-4914.8230566877319</v>
      </c>
    </row>
    <row r="95" spans="1:3">
      <c r="A95" s="61">
        <v>64</v>
      </c>
      <c r="B95" s="61">
        <v>25897.312312471004</v>
      </c>
      <c r="C95" s="61">
        <v>-897.31231247100368</v>
      </c>
    </row>
    <row r="96" spans="1:3">
      <c r="A96" s="61">
        <v>65</v>
      </c>
      <c r="B96" s="61">
        <v>29458.956878215391</v>
      </c>
      <c r="C96" s="61">
        <v>3541.043121784609</v>
      </c>
    </row>
    <row r="97" spans="1:3">
      <c r="A97" s="61">
        <v>66</v>
      </c>
      <c r="B97" s="61">
        <v>28410.953399522805</v>
      </c>
      <c r="C97" s="61">
        <v>-4910.9533995228048</v>
      </c>
    </row>
    <row r="98" spans="1:3">
      <c r="A98" s="61">
        <v>67</v>
      </c>
      <c r="B98" s="61">
        <v>23403.140285866753</v>
      </c>
      <c r="C98" s="61">
        <v>-4003.1402858667534</v>
      </c>
    </row>
    <row r="99" spans="1:3">
      <c r="A99" s="61">
        <v>68</v>
      </c>
      <c r="B99" s="61">
        <v>21877.661286850383</v>
      </c>
      <c r="C99" s="61">
        <v>122.33871314961652</v>
      </c>
    </row>
    <row r="100" spans="1:3">
      <c r="A100" s="61">
        <v>69</v>
      </c>
      <c r="B100" s="61">
        <v>18193.481675714549</v>
      </c>
      <c r="C100" s="61">
        <v>-793.48167571454906</v>
      </c>
    </row>
    <row r="101" spans="1:3">
      <c r="A101" s="61">
        <v>70</v>
      </c>
      <c r="B101" s="61">
        <v>21871.025205931655</v>
      </c>
      <c r="C101" s="61">
        <v>-971.02520593165536</v>
      </c>
    </row>
    <row r="102" spans="1:3">
      <c r="A102" s="61">
        <v>71</v>
      </c>
      <c r="B102" s="61">
        <v>25284.029121660613</v>
      </c>
      <c r="C102" s="61">
        <v>-1084.0291216606129</v>
      </c>
    </row>
    <row r="103" spans="1:3">
      <c r="A103" s="61">
        <v>72</v>
      </c>
      <c r="B103" s="61">
        <v>21849.503013758163</v>
      </c>
      <c r="C103" s="61">
        <v>-149.50301375816343</v>
      </c>
    </row>
    <row r="104" spans="1:3">
      <c r="A104" s="61">
        <v>73</v>
      </c>
      <c r="B104" s="61">
        <v>24597.577139019639</v>
      </c>
      <c r="C104" s="61">
        <v>-1797.5771390196387</v>
      </c>
    </row>
    <row r="105" spans="1:3">
      <c r="A105" s="61">
        <v>74</v>
      </c>
      <c r="B105" s="61">
        <v>24065.043865257554</v>
      </c>
      <c r="C105" s="61">
        <v>-665.04386525755399</v>
      </c>
    </row>
    <row r="106" spans="1:3">
      <c r="A106" s="61">
        <v>75</v>
      </c>
      <c r="B106" s="61">
        <v>24104.669920871143</v>
      </c>
      <c r="C106" s="61">
        <v>-4.6699208711434039</v>
      </c>
    </row>
    <row r="107" spans="1:3">
      <c r="A107" s="61">
        <v>76</v>
      </c>
      <c r="B107" s="61">
        <v>24135.620424859349</v>
      </c>
      <c r="C107" s="61">
        <v>-2735.6204248593494</v>
      </c>
    </row>
    <row r="108" spans="1:3">
      <c r="A108" s="61">
        <v>77</v>
      </c>
      <c r="B108" s="61">
        <v>23244.690850223073</v>
      </c>
      <c r="C108" s="61">
        <v>-3244.6908502230726</v>
      </c>
    </row>
    <row r="109" spans="1:3">
      <c r="A109" s="61">
        <v>78</v>
      </c>
      <c r="B109" s="61">
        <v>22754.788080068793</v>
      </c>
      <c r="C109" s="61">
        <v>-1954.7880800687926</v>
      </c>
    </row>
    <row r="110" spans="1:3">
      <c r="A110" s="61">
        <v>79</v>
      </c>
      <c r="B110" s="61">
        <v>22141.83769787748</v>
      </c>
      <c r="C110" s="61">
        <v>-941.83769787747951</v>
      </c>
    </row>
    <row r="111" spans="1:3">
      <c r="A111" s="61">
        <v>80</v>
      </c>
      <c r="B111" s="61">
        <v>22062.448060990278</v>
      </c>
      <c r="C111" s="61">
        <v>-1762.4480609902785</v>
      </c>
    </row>
    <row r="112" spans="1:3">
      <c r="A112" s="61">
        <v>81</v>
      </c>
      <c r="B112" s="61">
        <v>27964.179777413534</v>
      </c>
      <c r="C112" s="61">
        <v>35.820222586466116</v>
      </c>
    </row>
    <row r="113" spans="1:3">
      <c r="A113" s="61">
        <v>82</v>
      </c>
      <c r="B113" s="61">
        <v>27565.971755320497</v>
      </c>
      <c r="C113" s="61">
        <v>-3665.9717553204973</v>
      </c>
    </row>
    <row r="114" spans="1:3">
      <c r="A114" s="61">
        <v>83</v>
      </c>
      <c r="B114" s="61">
        <v>25302.662247934662</v>
      </c>
      <c r="C114" s="61">
        <v>-502.66224793466245</v>
      </c>
    </row>
    <row r="115" spans="1:3">
      <c r="A115" s="61">
        <v>84</v>
      </c>
      <c r="B115" s="61">
        <v>24745.205031865393</v>
      </c>
      <c r="C115" s="61">
        <v>-1845.2050318653928</v>
      </c>
    </row>
    <row r="116" spans="1:3">
      <c r="A116" s="61">
        <v>85</v>
      </c>
      <c r="B116" s="61">
        <v>24908.078129483416</v>
      </c>
      <c r="C116" s="61">
        <v>-1008.078129483416</v>
      </c>
    </row>
    <row r="117" spans="1:3">
      <c r="A117" s="61">
        <v>86</v>
      </c>
      <c r="B117" s="61">
        <v>28039.031509584143</v>
      </c>
      <c r="C117" s="61">
        <v>-1439.0315095841434</v>
      </c>
    </row>
    <row r="118" spans="1:3">
      <c r="A118" s="61">
        <v>87</v>
      </c>
      <c r="B118" s="61">
        <v>21308.925279747978</v>
      </c>
      <c r="C118" s="61">
        <v>1191.0747202520215</v>
      </c>
    </row>
    <row r="119" spans="1:3">
      <c r="A119" s="61">
        <v>88</v>
      </c>
      <c r="B119" s="61">
        <v>24806.36805302243</v>
      </c>
      <c r="C119" s="61">
        <v>-2606.3680530224301</v>
      </c>
    </row>
    <row r="120" spans="1:3">
      <c r="A120" s="61">
        <v>89</v>
      </c>
      <c r="B120" s="61">
        <v>30816.4895341683</v>
      </c>
      <c r="C120" s="61">
        <v>-7216.4895341683005</v>
      </c>
    </row>
    <row r="121" spans="1:3">
      <c r="A121" s="61">
        <v>90</v>
      </c>
      <c r="B121" s="61">
        <v>30228.400360871088</v>
      </c>
      <c r="C121" s="61">
        <v>-1528.4003608710882</v>
      </c>
    </row>
    <row r="122" spans="1:3">
      <c r="A122" s="61">
        <v>91</v>
      </c>
      <c r="B122" s="61">
        <v>25714.09942411277</v>
      </c>
      <c r="C122" s="61">
        <v>-3114.0994241127701</v>
      </c>
    </row>
    <row r="123" spans="1:3">
      <c r="A123" s="61">
        <v>92</v>
      </c>
      <c r="B123" s="61">
        <v>26290.633649988671</v>
      </c>
      <c r="C123" s="61">
        <v>-4290.6336499886711</v>
      </c>
    </row>
    <row r="124" spans="1:3">
      <c r="A124" s="61">
        <v>93</v>
      </c>
      <c r="B124" s="61">
        <v>27670.209537732386</v>
      </c>
      <c r="C124" s="61">
        <v>-4770.2095377323858</v>
      </c>
    </row>
    <row r="125" spans="1:3">
      <c r="A125" s="61">
        <v>94</v>
      </c>
      <c r="B125" s="61">
        <v>27083.793285565687</v>
      </c>
      <c r="C125" s="61">
        <v>-2083.7932855656873</v>
      </c>
    </row>
    <row r="126" spans="1:3">
      <c r="A126" s="61">
        <v>95</v>
      </c>
      <c r="B126" s="61">
        <v>26184.015535441533</v>
      </c>
      <c r="C126" s="61">
        <v>-5584.0155354415328</v>
      </c>
    </row>
    <row r="127" spans="1:3">
      <c r="A127" s="61">
        <v>96</v>
      </c>
      <c r="B127" s="61">
        <v>27688.956100595133</v>
      </c>
      <c r="C127" s="61">
        <v>711.04389940486726</v>
      </c>
    </row>
    <row r="128" spans="1:3">
      <c r="A128" s="61">
        <v>97</v>
      </c>
      <c r="B128" s="61">
        <v>23333.424941809768</v>
      </c>
      <c r="C128" s="61">
        <v>-1933.4249418097679</v>
      </c>
    </row>
    <row r="129" spans="1:3">
      <c r="A129" s="61">
        <v>98</v>
      </c>
      <c r="B129" s="61">
        <v>35722.138205480958</v>
      </c>
      <c r="C129" s="61">
        <v>2977.8617945190417</v>
      </c>
    </row>
    <row r="130" spans="1:3">
      <c r="A130" s="61">
        <v>99</v>
      </c>
      <c r="B130" s="61">
        <v>33794.44142241207</v>
      </c>
      <c r="C130" s="61">
        <v>10005.55857758793</v>
      </c>
    </row>
    <row r="131" spans="1:3">
      <c r="A131" s="61">
        <v>100</v>
      </c>
      <c r="B131" s="61">
        <v>31385.369630982015</v>
      </c>
      <c r="C131" s="61">
        <v>1814.6303690179848</v>
      </c>
    </row>
    <row r="132" spans="1:3">
      <c r="A132" s="61">
        <v>101</v>
      </c>
      <c r="B132" s="61">
        <v>23247.727039682592</v>
      </c>
      <c r="C132" s="61">
        <v>4252.2729603174084</v>
      </c>
    </row>
    <row r="133" spans="1:3">
      <c r="A133" s="61">
        <v>102</v>
      </c>
      <c r="B133" s="61">
        <v>24246.290447348911</v>
      </c>
      <c r="C133" s="61">
        <v>2253.7095526510893</v>
      </c>
    </row>
    <row r="134" spans="1:3">
      <c r="A134" s="61">
        <v>103</v>
      </c>
      <c r="B134" s="61">
        <v>21368.225585951935</v>
      </c>
      <c r="C134" s="61">
        <v>-2768.2255859519355</v>
      </c>
    </row>
    <row r="135" spans="1:3">
      <c r="A135" s="61">
        <v>104</v>
      </c>
      <c r="B135" s="61">
        <v>18627.97224325499</v>
      </c>
      <c r="C135" s="61">
        <v>672.02775674501027</v>
      </c>
    </row>
    <row r="136" spans="1:3">
      <c r="A136" s="61">
        <v>105</v>
      </c>
      <c r="B136" s="61">
        <v>19509.094012201276</v>
      </c>
      <c r="C136" s="61">
        <v>590.9059877987238</v>
      </c>
    </row>
    <row r="137" spans="1:3">
      <c r="A137" s="61">
        <v>106</v>
      </c>
      <c r="B137" s="61">
        <v>15920.750628375741</v>
      </c>
      <c r="C137" s="61">
        <v>3579.2493716242589</v>
      </c>
    </row>
    <row r="138" spans="1:3">
      <c r="A138" s="61">
        <v>107</v>
      </c>
      <c r="B138" s="61">
        <v>14375.481956274503</v>
      </c>
      <c r="C138" s="61">
        <v>5124.5180437254967</v>
      </c>
    </row>
    <row r="139" spans="1:3">
      <c r="A139" s="61">
        <v>108</v>
      </c>
      <c r="B139" s="61">
        <v>18120.907107398139</v>
      </c>
      <c r="C139" s="61">
        <v>2279.0928926018605</v>
      </c>
    </row>
    <row r="140" spans="1:3">
      <c r="A140" s="61">
        <v>109</v>
      </c>
      <c r="B140" s="61">
        <v>21045.760758605687</v>
      </c>
      <c r="C140" s="61">
        <v>-1245.7607586056874</v>
      </c>
    </row>
    <row r="141" spans="1:3">
      <c r="A141" s="61">
        <v>110</v>
      </c>
      <c r="B141" s="61">
        <v>17855.782152024876</v>
      </c>
      <c r="C141" s="61">
        <v>1544.2178479751237</v>
      </c>
    </row>
    <row r="142" spans="1:3">
      <c r="A142" s="61">
        <v>111</v>
      </c>
      <c r="B142" s="61">
        <v>18046.665832832692</v>
      </c>
      <c r="C142" s="61">
        <v>3653.3341671673079</v>
      </c>
    </row>
    <row r="143" spans="1:3">
      <c r="A143" s="61">
        <v>112</v>
      </c>
      <c r="B143" s="61">
        <v>25608.630975288066</v>
      </c>
      <c r="C143" s="61">
        <v>-2808.6309752880661</v>
      </c>
    </row>
    <row r="144" spans="1:3">
      <c r="A144" s="61">
        <v>113</v>
      </c>
      <c r="B144" s="61">
        <v>19010.95626663143</v>
      </c>
      <c r="C144" s="61">
        <v>-210.95626663143048</v>
      </c>
    </row>
    <row r="145" spans="1:3">
      <c r="A145" s="61">
        <v>114</v>
      </c>
      <c r="B145" s="61">
        <v>19299.212443188007</v>
      </c>
      <c r="C145" s="61">
        <v>-599.21244318800746</v>
      </c>
    </row>
    <row r="146" spans="1:3">
      <c r="A146" s="61">
        <v>115</v>
      </c>
      <c r="B146" s="61">
        <v>23616.924490474172</v>
      </c>
      <c r="C146" s="61">
        <v>-5116.9244904741718</v>
      </c>
    </row>
    <row r="147" spans="1:3">
      <c r="A147" s="61">
        <v>116</v>
      </c>
      <c r="B147" s="61">
        <v>19190.365663919067</v>
      </c>
      <c r="C147" s="61">
        <v>-890.36566391906672</v>
      </c>
    </row>
    <row r="148" spans="1:3">
      <c r="A148" s="61">
        <v>117</v>
      </c>
      <c r="B148" s="61">
        <v>21947.595616214297</v>
      </c>
      <c r="C148" s="61">
        <v>-747.59561621429748</v>
      </c>
    </row>
    <row r="149" spans="1:3">
      <c r="A149" s="61">
        <v>118</v>
      </c>
      <c r="B149" s="61">
        <v>22693.768178626931</v>
      </c>
      <c r="C149" s="61">
        <v>-3493.7681786269313</v>
      </c>
    </row>
    <row r="150" spans="1:3">
      <c r="A150" s="61">
        <v>119</v>
      </c>
      <c r="B150" s="61">
        <v>18698.033619731814</v>
      </c>
      <c r="C150" s="61">
        <v>1701.9663802681862</v>
      </c>
    </row>
    <row r="151" spans="1:3">
      <c r="A151" s="61">
        <v>120</v>
      </c>
      <c r="B151" s="61">
        <v>18921.236645497003</v>
      </c>
      <c r="C151" s="61">
        <v>378.76335450299666</v>
      </c>
    </row>
    <row r="152" spans="1:3">
      <c r="A152" s="61">
        <v>121</v>
      </c>
      <c r="B152" s="61">
        <v>21965.128912521177</v>
      </c>
      <c r="C152" s="61">
        <v>34.871087478823029</v>
      </c>
    </row>
    <row r="153" spans="1:3">
      <c r="A153" s="61">
        <v>122</v>
      </c>
      <c r="B153" s="61">
        <v>23052.721111414347</v>
      </c>
      <c r="C153" s="61">
        <v>-2752.7211114143465</v>
      </c>
    </row>
    <row r="154" spans="1:3">
      <c r="A154" s="61">
        <v>123</v>
      </c>
      <c r="B154" s="61">
        <v>20950.270625696066</v>
      </c>
      <c r="C154" s="61">
        <v>-450.27062569606642</v>
      </c>
    </row>
    <row r="155" spans="1:3">
      <c r="A155" s="61">
        <v>124</v>
      </c>
      <c r="B155" s="61">
        <v>16125.538293124717</v>
      </c>
      <c r="C155" s="61">
        <v>1174.4617068752832</v>
      </c>
    </row>
    <row r="156" spans="1:3">
      <c r="A156" s="61">
        <v>125</v>
      </c>
      <c r="B156" s="61">
        <v>20919.299305006542</v>
      </c>
      <c r="C156" s="61">
        <v>-2119.2993050065415</v>
      </c>
    </row>
    <row r="157" spans="1:3">
      <c r="A157" s="61">
        <v>126</v>
      </c>
      <c r="B157" s="61">
        <v>22793.296987694812</v>
      </c>
      <c r="C157" s="61">
        <v>-1393.2969876948118</v>
      </c>
    </row>
    <row r="158" spans="1:3">
      <c r="A158" s="61">
        <v>127</v>
      </c>
      <c r="B158" s="61">
        <v>13957.395719701541</v>
      </c>
      <c r="C158" s="61">
        <v>1742.6042802984593</v>
      </c>
    </row>
    <row r="159" spans="1:3">
      <c r="A159" s="61">
        <v>128</v>
      </c>
      <c r="B159" s="61">
        <v>14135.168986327615</v>
      </c>
      <c r="C159" s="61">
        <v>2064.8310136723849</v>
      </c>
    </row>
    <row r="160" spans="1:3">
      <c r="A160" s="61">
        <v>129</v>
      </c>
      <c r="B160" s="61">
        <v>18361.269674996045</v>
      </c>
      <c r="C160" s="61">
        <v>-361.26967499604507</v>
      </c>
    </row>
    <row r="161" spans="1:3">
      <c r="A161" s="61">
        <v>130</v>
      </c>
      <c r="B161" s="61">
        <v>13165.394101720931</v>
      </c>
      <c r="C161" s="61">
        <v>1134.6058982790692</v>
      </c>
    </row>
    <row r="162" spans="1:3">
      <c r="A162" s="61">
        <v>131</v>
      </c>
      <c r="B162" s="61">
        <v>20164.345229812978</v>
      </c>
      <c r="C162" s="61">
        <v>-964.34522981297778</v>
      </c>
    </row>
    <row r="163" spans="1:3">
      <c r="A163" s="61">
        <v>132</v>
      </c>
      <c r="B163" s="61">
        <v>19786.015530591474</v>
      </c>
      <c r="C163" s="61">
        <v>-186.01553059147409</v>
      </c>
    </row>
    <row r="164" spans="1:3">
      <c r="A164" s="61">
        <v>133</v>
      </c>
      <c r="B164" s="61">
        <v>20672.255676315464</v>
      </c>
      <c r="C164" s="61">
        <v>2327.7443236845356</v>
      </c>
    </row>
    <row r="165" spans="1:3">
      <c r="A165" s="61">
        <v>134</v>
      </c>
      <c r="B165" s="61">
        <v>15954.737554988846</v>
      </c>
      <c r="C165" s="61">
        <v>2445.2624450111543</v>
      </c>
    </row>
    <row r="166" spans="1:3">
      <c r="A166" s="61">
        <v>135</v>
      </c>
      <c r="B166" s="61">
        <v>14405.623790893502</v>
      </c>
      <c r="C166" s="61">
        <v>1194.3762091064982</v>
      </c>
    </row>
    <row r="167" spans="1:3">
      <c r="A167" s="61">
        <v>136</v>
      </c>
      <c r="B167" s="61">
        <v>16995.363605871149</v>
      </c>
      <c r="C167" s="61">
        <v>1104.636394128851</v>
      </c>
    </row>
    <row r="168" spans="1:3">
      <c r="A168" s="61">
        <v>137</v>
      </c>
      <c r="B168" s="61">
        <v>15255.569547858409</v>
      </c>
      <c r="C168" s="61">
        <v>2144.4304521415906</v>
      </c>
    </row>
    <row r="169" spans="1:3">
      <c r="A169" s="61">
        <v>138</v>
      </c>
      <c r="B169" s="61">
        <v>18927.108902511871</v>
      </c>
      <c r="C169" s="61">
        <v>-1827.1089025118708</v>
      </c>
    </row>
    <row r="170" spans="1:3">
      <c r="A170" s="61">
        <v>139</v>
      </c>
      <c r="B170" s="61">
        <v>12384.894973754277</v>
      </c>
      <c r="C170" s="61">
        <v>915.10502624572291</v>
      </c>
    </row>
    <row r="171" spans="1:3">
      <c r="A171" s="61">
        <v>140</v>
      </c>
      <c r="B171" s="61">
        <v>15318.657906217857</v>
      </c>
      <c r="C171" s="61">
        <v>2481.3420937821429</v>
      </c>
    </row>
    <row r="172" spans="1:3">
      <c r="A172" s="61">
        <v>141</v>
      </c>
      <c r="B172" s="61">
        <v>11822.515454831882</v>
      </c>
      <c r="C172" s="61">
        <v>2177.4845451681176</v>
      </c>
    </row>
    <row r="173" spans="1:3">
      <c r="A173" s="61">
        <v>142</v>
      </c>
      <c r="B173" s="61">
        <v>1065.4999129693351</v>
      </c>
      <c r="C173" s="61">
        <v>13334.500087030665</v>
      </c>
    </row>
    <row r="174" spans="1:3">
      <c r="A174" s="61">
        <v>143</v>
      </c>
      <c r="B174" s="61">
        <v>12122.49290009435</v>
      </c>
      <c r="C174" s="61">
        <v>1277.5070999056497</v>
      </c>
    </row>
    <row r="175" spans="1:3">
      <c r="A175" s="61">
        <v>144</v>
      </c>
      <c r="B175" s="61">
        <v>12632.71209524902</v>
      </c>
      <c r="C175" s="61">
        <v>2967.2879047509796</v>
      </c>
    </row>
    <row r="176" spans="1:3">
      <c r="A176" s="61">
        <v>145</v>
      </c>
      <c r="B176" s="61">
        <v>8492.5580809815401</v>
      </c>
      <c r="C176" s="61">
        <v>3307.4419190184599</v>
      </c>
    </row>
    <row r="177" spans="1:3">
      <c r="A177" s="61">
        <v>146</v>
      </c>
      <c r="B177" s="61">
        <v>14528.65273695426</v>
      </c>
      <c r="C177" s="61">
        <v>-728.65273695426004</v>
      </c>
    </row>
    <row r="178" spans="1:3">
      <c r="A178" s="61">
        <v>147</v>
      </c>
      <c r="B178" s="61">
        <v>19205.193314188495</v>
      </c>
      <c r="C178" s="61">
        <v>-3605.1933141884947</v>
      </c>
    </row>
    <row r="179" spans="1:3">
      <c r="A179" s="61">
        <v>148</v>
      </c>
      <c r="B179" s="61">
        <v>8373.0422224518734</v>
      </c>
      <c r="C179" s="61">
        <v>6226.9577775481266</v>
      </c>
    </row>
    <row r="180" spans="1:3">
      <c r="A180" s="61">
        <v>149</v>
      </c>
      <c r="B180" s="61">
        <v>10115.33045826235</v>
      </c>
      <c r="C180" s="61">
        <v>7684.6695417376504</v>
      </c>
    </row>
    <row r="181" spans="1:3">
      <c r="A181" s="61">
        <v>150</v>
      </c>
      <c r="B181" s="61">
        <v>16004.570924500913</v>
      </c>
      <c r="C181" s="61">
        <v>-604.57092450091295</v>
      </c>
    </row>
    <row r="182" spans="1:3">
      <c r="A182" s="61">
        <v>151</v>
      </c>
      <c r="B182" s="61">
        <v>22697.406756009339</v>
      </c>
      <c r="C182" s="61">
        <v>-1197.406756009339</v>
      </c>
    </row>
    <row r="183" spans="1:3">
      <c r="A183" s="61">
        <v>152</v>
      </c>
      <c r="B183" s="61">
        <v>20320.475047812834</v>
      </c>
      <c r="C183" s="61">
        <v>-720.47504781283351</v>
      </c>
    </row>
    <row r="184" spans="1:3">
      <c r="A184" s="61">
        <v>153</v>
      </c>
      <c r="B184" s="61">
        <v>19010.056457869123</v>
      </c>
      <c r="C184" s="61">
        <v>-3710.0564578691228</v>
      </c>
    </row>
    <row r="185" spans="1:3">
      <c r="A185" s="61">
        <v>154</v>
      </c>
      <c r="B185" s="61">
        <v>20010.39084178186</v>
      </c>
      <c r="C185" s="61">
        <v>-610.39084178186022</v>
      </c>
    </row>
    <row r="186" spans="1:3">
      <c r="A186" s="61">
        <v>155</v>
      </c>
      <c r="B186" s="61">
        <v>22066.207122489606</v>
      </c>
      <c r="C186" s="61">
        <v>-5066.2071224896063</v>
      </c>
    </row>
    <row r="187" spans="1:3">
      <c r="A187" s="61">
        <v>156</v>
      </c>
      <c r="B187" s="61">
        <v>21780.280367008447</v>
      </c>
      <c r="C187" s="61">
        <v>-6180.2803670084468</v>
      </c>
    </row>
    <row r="188" spans="1:3">
      <c r="A188" s="61">
        <v>157</v>
      </c>
      <c r="B188" s="61">
        <v>17847.547836020603</v>
      </c>
      <c r="C188" s="61">
        <v>-4747.5478360206034</v>
      </c>
    </row>
    <row r="189" spans="1:3">
      <c r="A189" s="61">
        <v>158</v>
      </c>
      <c r="B189" s="61">
        <v>34575.314591298971</v>
      </c>
      <c r="C189" s="61">
        <v>6724.6854087010288</v>
      </c>
    </row>
    <row r="190" spans="1:3">
      <c r="A190" s="61">
        <v>159</v>
      </c>
      <c r="B190" s="61">
        <v>29929.416132350954</v>
      </c>
      <c r="C190" s="61">
        <v>-5629.4161323509543</v>
      </c>
    </row>
    <row r="191" spans="1:3">
      <c r="A191" s="61">
        <v>160</v>
      </c>
      <c r="B191" s="61">
        <v>28447.631887749096</v>
      </c>
      <c r="C191" s="61">
        <v>-5147.6318877490958</v>
      </c>
    </row>
    <row r="192" spans="1:3">
      <c r="A192" s="61">
        <v>161</v>
      </c>
      <c r="B192" s="61">
        <v>31007.581845943605</v>
      </c>
      <c r="C192" s="61">
        <v>-4007.581845943605</v>
      </c>
    </row>
    <row r="193" spans="1:3">
      <c r="A193" s="61">
        <v>162</v>
      </c>
      <c r="B193" s="61">
        <v>38341.20545075155</v>
      </c>
      <c r="C193" s="61">
        <v>11658.79454924845</v>
      </c>
    </row>
    <row r="194" spans="1:3">
      <c r="A194" s="61">
        <v>163</v>
      </c>
      <c r="B194" s="61">
        <v>39761.215678530214</v>
      </c>
      <c r="C194" s="61">
        <v>10238.784321469786</v>
      </c>
    </row>
    <row r="195" spans="1:3">
      <c r="A195" s="61">
        <v>164</v>
      </c>
      <c r="B195" s="61">
        <v>41136.266067393088</v>
      </c>
      <c r="C195" s="61">
        <v>8863.7339326069123</v>
      </c>
    </row>
    <row r="196" spans="1:3">
      <c r="A196" s="61">
        <v>165</v>
      </c>
      <c r="B196" s="61">
        <v>25631.870178105753</v>
      </c>
      <c r="C196" s="61">
        <v>-2931.8701781057534</v>
      </c>
    </row>
    <row r="197" spans="1:3">
      <c r="A197" s="61">
        <v>166</v>
      </c>
      <c r="B197" s="61">
        <v>27797.82444963884</v>
      </c>
      <c r="C197" s="61">
        <v>-2797.8244496388397</v>
      </c>
    </row>
    <row r="198" spans="1:3">
      <c r="A198" s="61">
        <v>167</v>
      </c>
      <c r="B198" s="61">
        <v>39142.096793453689</v>
      </c>
      <c r="C198" s="61">
        <v>10857.903206546311</v>
      </c>
    </row>
    <row r="199" spans="1:3">
      <c r="A199" s="61">
        <v>168</v>
      </c>
      <c r="B199" s="61">
        <v>25009.195821746263</v>
      </c>
      <c r="C199" s="61">
        <v>-1209.1958217462634</v>
      </c>
    </row>
    <row r="200" spans="1:3">
      <c r="A200" s="61">
        <v>169</v>
      </c>
      <c r="B200" s="61">
        <v>28018.61958622239</v>
      </c>
      <c r="C200" s="61">
        <v>-4218.6195862223904</v>
      </c>
    </row>
    <row r="201" spans="1:3">
      <c r="A201" s="61">
        <v>170</v>
      </c>
      <c r="B201" s="61">
        <v>28198.257003392871</v>
      </c>
      <c r="C201" s="61">
        <v>-5898.2570033928714</v>
      </c>
    </row>
    <row r="202" spans="1:3">
      <c r="A202" s="61">
        <v>171</v>
      </c>
      <c r="B202" s="61">
        <v>24122.32851856792</v>
      </c>
      <c r="C202" s="61">
        <v>-6722.3285185679197</v>
      </c>
    </row>
    <row r="203" spans="1:3">
      <c r="A203" s="61">
        <v>172</v>
      </c>
      <c r="B203" s="61">
        <v>25684.262533405621</v>
      </c>
      <c r="C203" s="61">
        <v>-6584.2625334056211</v>
      </c>
    </row>
    <row r="204" spans="1:3">
      <c r="A204" s="61">
        <v>173</v>
      </c>
      <c r="B204" s="61">
        <v>20970.21355177453</v>
      </c>
      <c r="C204" s="61">
        <v>2129.7864482254699</v>
      </c>
    </row>
    <row r="205" spans="1:3">
      <c r="A205" s="61">
        <v>174</v>
      </c>
      <c r="B205" s="61">
        <v>27726.345470856118</v>
      </c>
      <c r="C205" s="61">
        <v>-4126.3454708561185</v>
      </c>
    </row>
    <row r="206" spans="1:3">
      <c r="A206" s="61">
        <v>175</v>
      </c>
      <c r="B206" s="61">
        <v>24558.165300823763</v>
      </c>
      <c r="C206" s="61">
        <v>-1958.1653008237627</v>
      </c>
    </row>
    <row r="207" spans="1:3">
      <c r="A207" s="61">
        <v>176</v>
      </c>
      <c r="B207" s="61">
        <v>28828.114390028342</v>
      </c>
      <c r="C207" s="61">
        <v>571.88560997165769</v>
      </c>
    </row>
    <row r="208" spans="1:3">
      <c r="A208" s="61">
        <v>177</v>
      </c>
      <c r="B208" s="61">
        <v>24229.839291464214</v>
      </c>
      <c r="C208" s="61">
        <v>-1029.8392914642136</v>
      </c>
    </row>
    <row r="209" spans="1:3">
      <c r="A209" s="61">
        <v>178</v>
      </c>
      <c r="B209" s="61">
        <v>28621.457054999577</v>
      </c>
      <c r="C209" s="61">
        <v>-4021.4570549995769</v>
      </c>
    </row>
    <row r="210" spans="1:3">
      <c r="A210" s="61">
        <v>179</v>
      </c>
      <c r="B210" s="61">
        <v>30521.522250447084</v>
      </c>
      <c r="C210" s="61">
        <v>-621.52225044708393</v>
      </c>
    </row>
    <row r="211" spans="1:3">
      <c r="A211" s="61">
        <v>180</v>
      </c>
      <c r="B211" s="61">
        <v>31325.024935594876</v>
      </c>
      <c r="C211" s="61">
        <v>5874.9750644051237</v>
      </c>
    </row>
    <row r="212" spans="1:3">
      <c r="A212" s="61">
        <v>181</v>
      </c>
      <c r="B212" s="61">
        <v>33858.597192420064</v>
      </c>
      <c r="C212" s="61">
        <v>5941.4028075799361</v>
      </c>
    </row>
    <row r="213" spans="1:3">
      <c r="A213" s="61">
        <v>182</v>
      </c>
      <c r="B213" s="61">
        <v>25332.533301652689</v>
      </c>
      <c r="C213" s="61">
        <v>10867.466698347311</v>
      </c>
    </row>
    <row r="214" spans="1:3">
      <c r="A214" s="61">
        <v>183</v>
      </c>
      <c r="B214" s="61">
        <v>33293.318707970197</v>
      </c>
      <c r="C214" s="61">
        <v>4606.6812920298034</v>
      </c>
    </row>
    <row r="215" spans="1:3">
      <c r="A215" s="61">
        <v>184</v>
      </c>
      <c r="B215" s="61">
        <v>30442.582967098926</v>
      </c>
      <c r="C215" s="61">
        <v>2057.417032901074</v>
      </c>
    </row>
    <row r="216" spans="1:3">
      <c r="A216" s="61">
        <v>185</v>
      </c>
      <c r="B216" s="61">
        <v>21272.413423956736</v>
      </c>
      <c r="C216" s="61">
        <v>5127.5865760432644</v>
      </c>
    </row>
    <row r="217" spans="1:3">
      <c r="A217" s="61">
        <v>186</v>
      </c>
      <c r="B217" s="61">
        <v>23347.943917582408</v>
      </c>
      <c r="C217" s="61">
        <v>6252.0560824175918</v>
      </c>
    </row>
    <row r="218" spans="1:3">
      <c r="A218" s="61">
        <v>187</v>
      </c>
      <c r="B218" s="61">
        <v>35034.755186119452</v>
      </c>
      <c r="C218" s="61">
        <v>14965.244813880548</v>
      </c>
    </row>
    <row r="219" spans="1:3">
      <c r="A219" s="61">
        <v>188</v>
      </c>
      <c r="B219" s="61">
        <v>29944.658351978771</v>
      </c>
      <c r="C219" s="61">
        <v>2055.341648021229</v>
      </c>
    </row>
    <row r="220" spans="1:3">
      <c r="A220" s="61">
        <v>189</v>
      </c>
      <c r="B220" s="61">
        <v>29900.020519997121</v>
      </c>
      <c r="C220" s="61">
        <v>-100.02051999712057</v>
      </c>
    </row>
    <row r="221" spans="1:3">
      <c r="A221" s="61">
        <v>190</v>
      </c>
      <c r="B221" s="61">
        <v>32315.420903372611</v>
      </c>
      <c r="C221" s="61">
        <v>2584.5790966273889</v>
      </c>
    </row>
    <row r="222" spans="1:3">
      <c r="A222" s="61">
        <v>191</v>
      </c>
      <c r="B222" s="61">
        <v>30952.489047278879</v>
      </c>
      <c r="C222" s="61">
        <v>6047.5109527211207</v>
      </c>
    </row>
    <row r="223" spans="1:3">
      <c r="A223" s="61">
        <v>192</v>
      </c>
      <c r="B223" s="61">
        <v>30632.300065573694</v>
      </c>
      <c r="C223" s="61">
        <v>-132.30006557369416</v>
      </c>
    </row>
    <row r="224" spans="1:3">
      <c r="A224" s="61">
        <v>193</v>
      </c>
      <c r="B224" s="61">
        <v>33396.563509987493</v>
      </c>
      <c r="C224" s="61">
        <v>3003.4364900125074</v>
      </c>
    </row>
    <row r="225" spans="1:3">
      <c r="A225" s="61">
        <v>194</v>
      </c>
      <c r="B225" s="61">
        <v>30740.469331520893</v>
      </c>
      <c r="C225" s="61">
        <v>359.53066847910668</v>
      </c>
    </row>
    <row r="226" spans="1:3">
      <c r="A226" s="61">
        <v>195</v>
      </c>
      <c r="B226" s="61">
        <v>30618.352096678114</v>
      </c>
      <c r="C226" s="61">
        <v>-1518.3520966781143</v>
      </c>
    </row>
    <row r="227" spans="1:3">
      <c r="A227" s="61">
        <v>196</v>
      </c>
      <c r="B227" s="61">
        <v>38826.344372389634</v>
      </c>
      <c r="C227" s="61">
        <v>11173.655627610366</v>
      </c>
    </row>
    <row r="228" spans="1:3">
      <c r="A228" s="61">
        <v>197</v>
      </c>
      <c r="B228" s="61">
        <v>36458.0446089857</v>
      </c>
      <c r="C228" s="61">
        <v>-3158.0446089856996</v>
      </c>
    </row>
    <row r="229" spans="1:3">
      <c r="A229" s="61">
        <v>198</v>
      </c>
      <c r="B229" s="61">
        <v>33056.426049801637</v>
      </c>
      <c r="C229" s="61">
        <v>-2756.4260498016374</v>
      </c>
    </row>
    <row r="230" spans="1:3">
      <c r="A230" s="61">
        <v>199</v>
      </c>
      <c r="B230" s="61">
        <v>35005.635769947905</v>
      </c>
      <c r="C230" s="61">
        <v>-405.63576994790492</v>
      </c>
    </row>
    <row r="231" spans="1:3">
      <c r="A231" s="61">
        <v>200</v>
      </c>
      <c r="B231" s="61">
        <v>28755.976142546293</v>
      </c>
      <c r="C231" s="61">
        <v>6144.023857453707</v>
      </c>
    </row>
    <row r="232" spans="1:3">
      <c r="A232" s="61">
        <v>201</v>
      </c>
      <c r="B232" s="61">
        <v>29436.50975242367</v>
      </c>
      <c r="C232" s="61">
        <v>3463.4902475763301</v>
      </c>
    </row>
    <row r="233" spans="1:3">
      <c r="A233" s="61">
        <v>202</v>
      </c>
      <c r="B233" s="61">
        <v>27359.721364199595</v>
      </c>
      <c r="C233" s="61">
        <v>-3259.721364199595</v>
      </c>
    </row>
    <row r="234" spans="1:3">
      <c r="A234" s="61">
        <v>203</v>
      </c>
      <c r="B234" s="61">
        <v>35200.064913617338</v>
      </c>
      <c r="C234" s="61">
        <v>7099.9350863826621</v>
      </c>
    </row>
    <row r="235" spans="1:3">
      <c r="A235" s="61">
        <v>204</v>
      </c>
      <c r="B235" s="61">
        <v>38744.069340032322</v>
      </c>
      <c r="C235" s="61">
        <v>9755.9306599676784</v>
      </c>
    </row>
    <row r="236" spans="1:3">
      <c r="A236" s="61">
        <v>205</v>
      </c>
      <c r="B236" s="61">
        <v>40010.761905362378</v>
      </c>
      <c r="C236" s="61">
        <v>9989.2380946376215</v>
      </c>
    </row>
    <row r="237" spans="1:3">
      <c r="A237" s="61">
        <v>206</v>
      </c>
      <c r="B237" s="61">
        <v>21357.905664438</v>
      </c>
      <c r="C237" s="61">
        <v>1242.0943355620002</v>
      </c>
    </row>
    <row r="238" spans="1:3">
      <c r="A238" s="61">
        <v>207</v>
      </c>
      <c r="B238" s="61">
        <v>24086.604538380947</v>
      </c>
      <c r="C238" s="61">
        <v>313.39546161905309</v>
      </c>
    </row>
    <row r="239" spans="1:3">
      <c r="A239" s="61">
        <v>208</v>
      </c>
      <c r="B239" s="61">
        <v>18221.181784625249</v>
      </c>
      <c r="C239" s="61">
        <v>4278.8182153747512</v>
      </c>
    </row>
    <row r="240" spans="1:3">
      <c r="A240" s="61">
        <v>209</v>
      </c>
      <c r="B240" s="61">
        <v>20990.064659219061</v>
      </c>
      <c r="C240" s="61">
        <v>3409.9353407809394</v>
      </c>
    </row>
    <row r="241" spans="1:3">
      <c r="A241" s="61">
        <v>210</v>
      </c>
      <c r="B241" s="61">
        <v>14265.27414265056</v>
      </c>
      <c r="C241" s="61">
        <v>5734.72585734944</v>
      </c>
    </row>
    <row r="242" spans="1:3">
      <c r="A242" s="61">
        <v>211</v>
      </c>
      <c r="B242" s="61">
        <v>20068.403855506644</v>
      </c>
      <c r="C242" s="61">
        <v>1631.5961444933564</v>
      </c>
    </row>
    <row r="243" spans="1:3">
      <c r="A243" s="61">
        <v>212</v>
      </c>
      <c r="B243" s="61">
        <v>13598.751970297742</v>
      </c>
      <c r="C243" s="61">
        <v>5701.2480297022576</v>
      </c>
    </row>
    <row r="244" spans="1:3">
      <c r="A244" s="61">
        <v>213</v>
      </c>
      <c r="B244" s="61">
        <v>18926.195630074035</v>
      </c>
      <c r="C244" s="61">
        <v>3473.8043699259651</v>
      </c>
    </row>
    <row r="245" spans="1:3">
      <c r="A245" s="61">
        <v>214</v>
      </c>
      <c r="B245" s="61">
        <v>24585.669575154061</v>
      </c>
      <c r="C245" s="61">
        <v>3514.330424845939</v>
      </c>
    </row>
    <row r="246" spans="1:3">
      <c r="A246" s="61">
        <v>215</v>
      </c>
      <c r="B246" s="61">
        <v>7665.7436392571435</v>
      </c>
      <c r="C246" s="61">
        <v>16034.256360742856</v>
      </c>
    </row>
    <row r="247" spans="1:3">
      <c r="A247" s="61">
        <v>216</v>
      </c>
      <c r="B247" s="61">
        <v>24067.632830996688</v>
      </c>
      <c r="C247" s="61">
        <v>932.36716900331157</v>
      </c>
    </row>
    <row r="248" spans="1:3">
      <c r="A248" s="61">
        <v>217</v>
      </c>
      <c r="B248" s="61">
        <v>23296.229139477437</v>
      </c>
      <c r="C248" s="61">
        <v>3.7708605225634528</v>
      </c>
    </row>
    <row r="249" spans="1:3">
      <c r="A249" s="61">
        <v>218</v>
      </c>
      <c r="B249" s="61">
        <v>29676.948540475725</v>
      </c>
      <c r="C249" s="61">
        <v>-976.94854047572517</v>
      </c>
    </row>
    <row r="250" spans="1:3">
      <c r="A250" s="61">
        <v>219</v>
      </c>
      <c r="B250" s="61">
        <v>22132.322754325851</v>
      </c>
      <c r="C250" s="61">
        <v>-632.32275432585084</v>
      </c>
    </row>
    <row r="251" spans="1:3">
      <c r="A251" s="61">
        <v>220</v>
      </c>
      <c r="B251" s="61">
        <v>28317.443583162243</v>
      </c>
      <c r="C251" s="61">
        <v>-5317.4435831622432</v>
      </c>
    </row>
    <row r="252" spans="1:3">
      <c r="A252" s="61">
        <v>221</v>
      </c>
      <c r="B252" s="61">
        <v>29752.954595948489</v>
      </c>
      <c r="C252" s="61">
        <v>-3052.9545959484894</v>
      </c>
    </row>
    <row r="253" spans="1:3">
      <c r="A253" s="61">
        <v>222</v>
      </c>
      <c r="B253" s="61">
        <v>19487.806850432949</v>
      </c>
      <c r="C253" s="61">
        <v>2212.1931495670506</v>
      </c>
    </row>
    <row r="254" spans="1:3">
      <c r="A254" s="61">
        <v>223</v>
      </c>
      <c r="B254" s="61">
        <v>28967.088216217395</v>
      </c>
      <c r="C254" s="61">
        <v>-1467.0882162173948</v>
      </c>
    </row>
    <row r="255" spans="1:3">
      <c r="A255" s="61">
        <v>224</v>
      </c>
      <c r="B255" s="61">
        <v>29402.460322367526</v>
      </c>
      <c r="C255" s="61">
        <v>697.53967763247419</v>
      </c>
    </row>
    <row r="256" spans="1:3">
      <c r="A256" s="61">
        <v>225</v>
      </c>
      <c r="B256" s="61">
        <v>38243.564996954628</v>
      </c>
      <c r="C256" s="61">
        <v>6556.4350030453716</v>
      </c>
    </row>
    <row r="257" spans="1:3">
      <c r="A257" s="61">
        <v>226</v>
      </c>
      <c r="B257" s="61">
        <v>39995.421514991736</v>
      </c>
      <c r="C257" s="61">
        <v>10004.578485008264</v>
      </c>
    </row>
    <row r="258" spans="1:3">
      <c r="A258" s="61">
        <v>227</v>
      </c>
      <c r="B258" s="61">
        <v>38192.486562572005</v>
      </c>
      <c r="C258" s="61">
        <v>-592.48656257200491</v>
      </c>
    </row>
    <row r="259" spans="1:3">
      <c r="A259" s="61">
        <v>228</v>
      </c>
      <c r="B259" s="61">
        <v>32402.415065651374</v>
      </c>
      <c r="C259" s="61">
        <v>-802.41506565137388</v>
      </c>
    </row>
    <row r="260" spans="1:3">
      <c r="A260" s="61">
        <v>229</v>
      </c>
      <c r="B260" s="61">
        <v>33965.014968458236</v>
      </c>
      <c r="C260" s="61">
        <v>12734.985031541764</v>
      </c>
    </row>
    <row r="261" spans="1:3">
      <c r="A261" s="61">
        <v>230</v>
      </c>
      <c r="B261" s="61">
        <v>29528.472479867782</v>
      </c>
      <c r="C261" s="61">
        <v>1971.5275201322183</v>
      </c>
    </row>
    <row r="262" spans="1:3">
      <c r="A262" s="61">
        <v>231</v>
      </c>
      <c r="B262" s="61">
        <v>23936.185620988075</v>
      </c>
      <c r="C262" s="61">
        <v>363.81437901192476</v>
      </c>
    </row>
    <row r="263" spans="1:3">
      <c r="A263" s="61">
        <v>232</v>
      </c>
      <c r="B263" s="61">
        <v>34002.578758236872</v>
      </c>
      <c r="C263" s="61">
        <v>-2302.5787582368721</v>
      </c>
    </row>
    <row r="264" spans="1:3">
      <c r="A264" s="61">
        <v>233</v>
      </c>
      <c r="B264" s="61">
        <v>39351.596376661095</v>
      </c>
      <c r="C264" s="61">
        <v>2348.4036233389052</v>
      </c>
    </row>
    <row r="265" spans="1:3">
      <c r="A265" s="61">
        <v>234</v>
      </c>
      <c r="B265" s="61">
        <v>37989.15704768803</v>
      </c>
      <c r="C265" s="61">
        <v>10310.84295231197</v>
      </c>
    </row>
    <row r="266" spans="1:3">
      <c r="A266" s="61">
        <v>235</v>
      </c>
      <c r="B266" s="61">
        <v>29104.71935890333</v>
      </c>
      <c r="C266" s="61">
        <v>-104.71935890333043</v>
      </c>
    </row>
    <row r="267" spans="1:3">
      <c r="A267" s="61">
        <v>236</v>
      </c>
      <c r="B267" s="61">
        <v>24587.143654785748</v>
      </c>
      <c r="C267" s="61">
        <v>-587.14365478574837</v>
      </c>
    </row>
    <row r="268" spans="1:3">
      <c r="A268" s="61">
        <v>237</v>
      </c>
      <c r="B268" s="61">
        <v>28140.462081843827</v>
      </c>
      <c r="C268" s="61">
        <v>-3040.462081843827</v>
      </c>
    </row>
    <row r="269" spans="1:3">
      <c r="A269" s="61">
        <v>238</v>
      </c>
      <c r="B269" s="61">
        <v>33889.11285558845</v>
      </c>
      <c r="C269" s="61">
        <v>-2389.1128555884497</v>
      </c>
    </row>
    <row r="270" spans="1:3">
      <c r="A270" s="61">
        <v>239</v>
      </c>
      <c r="B270" s="61">
        <v>28616.878090353348</v>
      </c>
      <c r="C270" s="61">
        <v>-4916.8780903533479</v>
      </c>
    </row>
    <row r="271" spans="1:3">
      <c r="A271" s="61">
        <v>240</v>
      </c>
      <c r="B271" s="61">
        <v>29301.909397541716</v>
      </c>
      <c r="C271" s="61">
        <v>-6001.9093975417163</v>
      </c>
    </row>
    <row r="272" spans="1:3">
      <c r="A272" s="61">
        <v>241</v>
      </c>
      <c r="B272" s="61">
        <v>28474.245164859829</v>
      </c>
      <c r="C272" s="61">
        <v>-6474.2451648598289</v>
      </c>
    </row>
    <row r="273" spans="1:3">
      <c r="A273" s="61">
        <v>242</v>
      </c>
      <c r="B273" s="61">
        <v>24904.054164626956</v>
      </c>
      <c r="C273" s="61">
        <v>-4804.0541646269558</v>
      </c>
    </row>
    <row r="274" spans="1:3">
      <c r="A274" s="61">
        <v>243</v>
      </c>
      <c r="B274" s="61">
        <v>26301.333936438728</v>
      </c>
      <c r="C274" s="61">
        <v>-4101.3339364387284</v>
      </c>
    </row>
    <row r="275" spans="1:3">
      <c r="A275" s="61">
        <v>244</v>
      </c>
      <c r="B275" s="61">
        <v>28609.46910534897</v>
      </c>
      <c r="C275" s="61">
        <v>-4909.4691053489696</v>
      </c>
    </row>
    <row r="276" spans="1:3">
      <c r="A276" s="61">
        <v>245</v>
      </c>
      <c r="B276" s="61">
        <v>20387.433448990294</v>
      </c>
      <c r="C276" s="61">
        <v>-2787.433448990294</v>
      </c>
    </row>
    <row r="277" spans="1:3">
      <c r="A277" s="61">
        <v>246</v>
      </c>
      <c r="B277" s="61">
        <v>16622.69950486792</v>
      </c>
      <c r="C277" s="61">
        <v>1877.30049513208</v>
      </c>
    </row>
    <row r="278" spans="1:3">
      <c r="A278" s="61">
        <v>247</v>
      </c>
      <c r="B278" s="61">
        <v>23163.18761108617</v>
      </c>
      <c r="C278" s="61">
        <v>1136.8123889138296</v>
      </c>
    </row>
    <row r="279" spans="1:3">
      <c r="A279" s="61">
        <v>248</v>
      </c>
      <c r="B279" s="61">
        <v>24509.904006031444</v>
      </c>
      <c r="C279" s="61">
        <v>-4009.9040060314437</v>
      </c>
    </row>
    <row r="280" spans="1:3">
      <c r="A280" s="61">
        <v>249</v>
      </c>
      <c r="B280" s="61">
        <v>24753.784119342516</v>
      </c>
      <c r="C280" s="61">
        <v>-253.78411934251562</v>
      </c>
    </row>
    <row r="281" spans="1:3">
      <c r="A281" s="61">
        <v>250</v>
      </c>
      <c r="B281" s="61">
        <v>26680.069497961747</v>
      </c>
      <c r="C281" s="61">
        <v>-480.0694979617474</v>
      </c>
    </row>
    <row r="282" spans="1:3">
      <c r="A282" s="61">
        <v>251</v>
      </c>
      <c r="B282" s="61">
        <v>25978.283972627709</v>
      </c>
      <c r="C282" s="61">
        <v>-1578.2839726277089</v>
      </c>
    </row>
    <row r="283" spans="1:3">
      <c r="A283" s="61">
        <v>252</v>
      </c>
      <c r="B283" s="61">
        <v>27039.020597376955</v>
      </c>
      <c r="C283" s="61">
        <v>-2239.0205973769553</v>
      </c>
    </row>
    <row r="284" spans="1:3">
      <c r="A284" s="61">
        <v>253</v>
      </c>
      <c r="B284" s="61">
        <v>29147.285127163934</v>
      </c>
      <c r="C284" s="61">
        <v>452.71487283606621</v>
      </c>
    </row>
    <row r="285" spans="1:3">
      <c r="A285" s="61">
        <v>254</v>
      </c>
      <c r="B285" s="61">
        <v>34565.29005575773</v>
      </c>
      <c r="C285" s="61">
        <v>8234.7099442422696</v>
      </c>
    </row>
    <row r="286" spans="1:3">
      <c r="A286" s="61">
        <v>255</v>
      </c>
      <c r="B286" s="61">
        <v>26286.841363470703</v>
      </c>
      <c r="C286" s="61">
        <v>-4386.8413634707031</v>
      </c>
    </row>
    <row r="287" spans="1:3">
      <c r="A287" s="61">
        <v>256</v>
      </c>
      <c r="B287" s="61">
        <v>23283.044699578826</v>
      </c>
      <c r="C287" s="61">
        <v>-2383.0446995788261</v>
      </c>
    </row>
    <row r="288" spans="1:3">
      <c r="A288" s="61">
        <v>257</v>
      </c>
      <c r="B288" s="61">
        <v>36084.843881697372</v>
      </c>
      <c r="C288" s="61">
        <v>7915.1561183026279</v>
      </c>
    </row>
    <row r="289" spans="1:3">
      <c r="A289" s="61">
        <v>258</v>
      </c>
      <c r="B289" s="61">
        <v>42532.64727018719</v>
      </c>
      <c r="C289" s="61">
        <v>7467.3527298128101</v>
      </c>
    </row>
    <row r="290" spans="1:3">
      <c r="A290" s="61">
        <v>259</v>
      </c>
      <c r="B290" s="61">
        <v>35692.302025862533</v>
      </c>
      <c r="C290" s="61">
        <v>307.6979741374671</v>
      </c>
    </row>
    <row r="291" spans="1:3">
      <c r="A291" s="61">
        <v>260</v>
      </c>
      <c r="B291" s="61">
        <v>34205.288527963443</v>
      </c>
      <c r="C291" s="61">
        <v>-4105.2885279634429</v>
      </c>
    </row>
    <row r="292" spans="1:3">
      <c r="A292" s="61">
        <v>261</v>
      </c>
      <c r="B292" s="61">
        <v>33467.288073716722</v>
      </c>
      <c r="C292" s="61">
        <v>332.71192628327844</v>
      </c>
    </row>
    <row r="293" spans="1:3">
      <c r="A293" s="61">
        <v>262</v>
      </c>
      <c r="B293" s="61">
        <v>36435.388560146661</v>
      </c>
      <c r="C293" s="61">
        <v>6664.6114398533391</v>
      </c>
    </row>
    <row r="294" spans="1:3">
      <c r="A294" s="61">
        <v>263</v>
      </c>
      <c r="B294" s="61">
        <v>40943.678753870983</v>
      </c>
      <c r="C294" s="61">
        <v>7856.3212461290168</v>
      </c>
    </row>
    <row r="295" spans="1:3">
      <c r="A295" s="61">
        <v>264</v>
      </c>
      <c r="B295" s="61">
        <v>33392.55581390806</v>
      </c>
      <c r="C295" s="61">
        <v>-2392.5558139080604</v>
      </c>
    </row>
    <row r="296" spans="1:3">
      <c r="A296" s="61">
        <v>265</v>
      </c>
      <c r="B296" s="61">
        <v>34704.114423027306</v>
      </c>
      <c r="C296" s="61">
        <v>1795.8855769726943</v>
      </c>
    </row>
    <row r="297" spans="1:3">
      <c r="A297" s="61">
        <v>266</v>
      </c>
      <c r="B297" s="61">
        <v>25542.941343246071</v>
      </c>
      <c r="C297" s="61">
        <v>-2742.9413432460715</v>
      </c>
    </row>
    <row r="298" spans="1:3">
      <c r="A298" s="61">
        <v>267</v>
      </c>
      <c r="B298" s="61">
        <v>29632.96406306576</v>
      </c>
      <c r="C298" s="61">
        <v>1067.0359369342405</v>
      </c>
    </row>
    <row r="299" spans="1:3">
      <c r="A299" s="61">
        <v>268</v>
      </c>
      <c r="B299" s="61">
        <v>39533.840922856492</v>
      </c>
      <c r="C299" s="61">
        <v>10466.159077143508</v>
      </c>
    </row>
    <row r="300" spans="1:3">
      <c r="A300" s="61">
        <v>269</v>
      </c>
      <c r="B300" s="61">
        <v>38237.896390632675</v>
      </c>
      <c r="C300" s="61">
        <v>5262.1036093673247</v>
      </c>
    </row>
    <row r="301" spans="1:3">
      <c r="A301" s="61">
        <v>270</v>
      </c>
      <c r="B301" s="61">
        <v>21387.512420744952</v>
      </c>
      <c r="C301" s="61">
        <v>-687.51242074495167</v>
      </c>
    </row>
    <row r="302" spans="1:3">
      <c r="A302" s="61">
        <v>271</v>
      </c>
      <c r="B302" s="61">
        <v>20877.897708371114</v>
      </c>
      <c r="C302" s="61">
        <v>222.10229162888572</v>
      </c>
    </row>
    <row r="303" spans="1:3">
      <c r="A303" s="61">
        <v>272</v>
      </c>
      <c r="B303" s="61">
        <v>25491.426807447948</v>
      </c>
      <c r="C303" s="61">
        <v>-291.42680744794779</v>
      </c>
    </row>
    <row r="304" spans="1:3">
      <c r="A304" s="61">
        <v>273</v>
      </c>
      <c r="B304" s="61">
        <v>27427.377297908763</v>
      </c>
      <c r="C304" s="61">
        <v>-3027.3772979087626</v>
      </c>
    </row>
    <row r="305" spans="1:3">
      <c r="A305" s="61">
        <v>274</v>
      </c>
      <c r="B305" s="61">
        <v>32652.724955116631</v>
      </c>
      <c r="C305" s="61">
        <v>2547.2750448833685</v>
      </c>
    </row>
    <row r="306" spans="1:3">
      <c r="A306" s="61">
        <v>275</v>
      </c>
      <c r="B306" s="61">
        <v>31014.859156673272</v>
      </c>
      <c r="C306" s="61">
        <v>1385.1408433267279</v>
      </c>
    </row>
    <row r="307" spans="1:3">
      <c r="A307" s="61">
        <v>276</v>
      </c>
      <c r="B307" s="61">
        <v>32069.797890108319</v>
      </c>
      <c r="C307" s="61">
        <v>-69.797890108318825</v>
      </c>
    </row>
    <row r="308" spans="1:3">
      <c r="A308" s="61">
        <v>277</v>
      </c>
      <c r="B308" s="61">
        <v>32119.974329019133</v>
      </c>
      <c r="C308" s="61">
        <v>1080.0256709808673</v>
      </c>
    </row>
    <row r="309" spans="1:3">
      <c r="A309" s="61">
        <v>278</v>
      </c>
      <c r="B309" s="61">
        <v>30739.585407936986</v>
      </c>
      <c r="C309" s="61">
        <v>2360.4145920630144</v>
      </c>
    </row>
    <row r="310" spans="1:3">
      <c r="A310" s="61">
        <v>279</v>
      </c>
      <c r="B310" s="61">
        <v>27634.998783373398</v>
      </c>
      <c r="C310" s="61">
        <v>1465.0012166266024</v>
      </c>
    </row>
    <row r="311" spans="1:3">
      <c r="A311" s="61">
        <v>280</v>
      </c>
      <c r="B311" s="61">
        <v>33759.593236793415</v>
      </c>
      <c r="C311" s="61">
        <v>1340.4067632065853</v>
      </c>
    </row>
    <row r="312" spans="1:3">
      <c r="A312" s="61">
        <v>281</v>
      </c>
      <c r="B312" s="61">
        <v>39641.488786814181</v>
      </c>
      <c r="C312" s="61">
        <v>5758.5112131858186</v>
      </c>
    </row>
    <row r="313" spans="1:3">
      <c r="A313" s="61">
        <v>282</v>
      </c>
      <c r="B313" s="61">
        <v>34725.182609882984</v>
      </c>
      <c r="C313" s="61">
        <v>674.81739011701575</v>
      </c>
    </row>
    <row r="314" spans="1:3">
      <c r="A314" s="61">
        <v>283</v>
      </c>
      <c r="B314" s="61">
        <v>38885.963766157176</v>
      </c>
      <c r="C314" s="61">
        <v>7114.036233842824</v>
      </c>
    </row>
    <row r="315" spans="1:3">
      <c r="A315" s="61">
        <v>284</v>
      </c>
      <c r="B315" s="61">
        <v>39882.640591705785</v>
      </c>
      <c r="C315" s="61">
        <v>10117.359408294215</v>
      </c>
    </row>
    <row r="316" spans="1:3">
      <c r="A316" s="61">
        <v>285</v>
      </c>
      <c r="B316" s="61">
        <v>30629.011231497036</v>
      </c>
      <c r="C316" s="61">
        <v>1570.988768502968</v>
      </c>
    </row>
    <row r="317" spans="1:3">
      <c r="A317" s="61">
        <v>286</v>
      </c>
      <c r="B317" s="61">
        <v>27947.059351600768</v>
      </c>
      <c r="C317" s="61">
        <v>-5947.0593516007684</v>
      </c>
    </row>
    <row r="318" spans="1:3">
      <c r="A318" s="61">
        <v>287</v>
      </c>
      <c r="B318" s="61">
        <v>21891.451267377193</v>
      </c>
      <c r="C318" s="61">
        <v>-1791.4512673771933</v>
      </c>
    </row>
    <row r="319" spans="1:3">
      <c r="A319" s="61">
        <v>288</v>
      </c>
      <c r="B319" s="61">
        <v>27832.709321717288</v>
      </c>
      <c r="C319" s="61">
        <v>-4632.7093217172878</v>
      </c>
    </row>
    <row r="320" spans="1:3">
      <c r="A320" s="61">
        <v>289</v>
      </c>
      <c r="B320" s="61">
        <v>28462.6056957734</v>
      </c>
      <c r="C320" s="61">
        <v>-6162.6056957733999</v>
      </c>
    </row>
    <row r="321" spans="1:3">
      <c r="A321" s="61">
        <v>290</v>
      </c>
      <c r="B321" s="61">
        <v>27590.495105127051</v>
      </c>
      <c r="C321" s="61">
        <v>-2790.4951051270509</v>
      </c>
    </row>
    <row r="322" spans="1:3">
      <c r="A322" s="61">
        <v>291</v>
      </c>
      <c r="B322" s="61">
        <v>29990.467435918436</v>
      </c>
      <c r="C322" s="61">
        <v>-1490.4674359184355</v>
      </c>
    </row>
    <row r="323" spans="1:3">
      <c r="A323" s="61">
        <v>292</v>
      </c>
      <c r="B323" s="61">
        <v>31028.703400221882</v>
      </c>
      <c r="C323" s="61">
        <v>6271.2965997781175</v>
      </c>
    </row>
    <row r="324" spans="1:3">
      <c r="A324" s="61">
        <v>293</v>
      </c>
      <c r="B324" s="61">
        <v>28060.208568052516</v>
      </c>
      <c r="C324" s="61">
        <v>-160.20856805251606</v>
      </c>
    </row>
    <row r="325" spans="1:3">
      <c r="A325" s="61">
        <v>294</v>
      </c>
      <c r="B325" s="61">
        <v>27171.328024029463</v>
      </c>
      <c r="C325" s="61">
        <v>-3271.3280240294625</v>
      </c>
    </row>
    <row r="326" spans="1:3">
      <c r="A326" s="61">
        <v>295</v>
      </c>
      <c r="B326" s="61">
        <v>26370.278347797295</v>
      </c>
      <c r="C326" s="61">
        <v>-4670.2783477972953</v>
      </c>
    </row>
    <row r="327" spans="1:3">
      <c r="A327" s="61">
        <v>296</v>
      </c>
      <c r="B327" s="61">
        <v>31260.653359430551</v>
      </c>
      <c r="C327" s="61">
        <v>-2660.6533594305511</v>
      </c>
    </row>
    <row r="328" spans="1:3">
      <c r="A328" s="61">
        <v>297</v>
      </c>
      <c r="B328" s="61">
        <v>30706.09518035872</v>
      </c>
      <c r="C328" s="61">
        <v>-3606.0951803587195</v>
      </c>
    </row>
    <row r="329" spans="1:3">
      <c r="A329" s="61">
        <v>298</v>
      </c>
      <c r="B329" s="61">
        <v>22691.813030214631</v>
      </c>
      <c r="C329" s="61">
        <v>-2391.813030214631</v>
      </c>
    </row>
    <row r="330" spans="1:3">
      <c r="A330" s="61">
        <v>299</v>
      </c>
      <c r="B330" s="61">
        <v>29715.02949067235</v>
      </c>
      <c r="C330" s="61">
        <v>-7215.0294906723502</v>
      </c>
    </row>
    <row r="331" spans="1:3">
      <c r="A331" s="61">
        <v>300</v>
      </c>
      <c r="B331" s="61">
        <v>32392.899420734306</v>
      </c>
      <c r="C331" s="61">
        <v>-3392.8994207343057</v>
      </c>
    </row>
    <row r="332" spans="1:3">
      <c r="A332" s="61">
        <v>301</v>
      </c>
      <c r="B332" s="61">
        <v>32118.475372613586</v>
      </c>
      <c r="C332" s="61">
        <v>-7318.4753726135859</v>
      </c>
    </row>
    <row r="333" spans="1:3">
      <c r="A333" s="61">
        <v>302</v>
      </c>
      <c r="B333" s="61">
        <v>28366.12943032429</v>
      </c>
      <c r="C333" s="61">
        <v>-6366.1294303242903</v>
      </c>
    </row>
    <row r="334" spans="1:3">
      <c r="A334" s="61">
        <v>303</v>
      </c>
      <c r="B334" s="61">
        <v>27751.922953870755</v>
      </c>
      <c r="C334" s="61">
        <v>-1351.922953870755</v>
      </c>
    </row>
    <row r="335" spans="1:3">
      <c r="A335" s="61">
        <v>304</v>
      </c>
      <c r="B335" s="61">
        <v>32043.628729199878</v>
      </c>
      <c r="C335" s="61">
        <v>1056.3712708001221</v>
      </c>
    </row>
    <row r="336" spans="1:3">
      <c r="A336" s="61">
        <v>305</v>
      </c>
      <c r="B336" s="61">
        <v>30779.269812424096</v>
      </c>
      <c r="C336" s="61">
        <v>5320.730187575904</v>
      </c>
    </row>
    <row r="337" spans="1:3">
      <c r="A337" s="61">
        <v>306</v>
      </c>
      <c r="B337" s="61">
        <v>27571.054821007463</v>
      </c>
      <c r="C337" s="61">
        <v>828.94517899253697</v>
      </c>
    </row>
    <row r="338" spans="1:3">
      <c r="A338" s="61">
        <v>307</v>
      </c>
      <c r="B338" s="61">
        <v>32831.126151833778</v>
      </c>
      <c r="C338" s="61">
        <v>568.87384816622216</v>
      </c>
    </row>
    <row r="339" spans="1:3">
      <c r="A339" s="61">
        <v>308</v>
      </c>
      <c r="B339" s="61">
        <v>29781.318600553062</v>
      </c>
      <c r="C339" s="61">
        <v>-1581.3186005530624</v>
      </c>
    </row>
    <row r="340" spans="1:3">
      <c r="A340" s="61">
        <v>309</v>
      </c>
      <c r="B340" s="61">
        <v>29409.535937544872</v>
      </c>
      <c r="C340" s="61">
        <v>-6609.5359375448716</v>
      </c>
    </row>
    <row r="341" spans="1:3">
      <c r="A341" s="61">
        <v>310</v>
      </c>
      <c r="B341" s="61">
        <v>23197.312345733382</v>
      </c>
      <c r="C341" s="61">
        <v>-2897.3123457333822</v>
      </c>
    </row>
    <row r="342" spans="1:3">
      <c r="A342" s="61">
        <v>311</v>
      </c>
      <c r="B342" s="61">
        <v>16179.02361189948</v>
      </c>
      <c r="C342" s="61">
        <v>-79.023611899478055</v>
      </c>
    </row>
    <row r="343" spans="1:3">
      <c r="A343" s="61">
        <v>312</v>
      </c>
      <c r="B343" s="61">
        <v>25443.5726706731</v>
      </c>
      <c r="C343" s="61">
        <v>-3343.5726706731002</v>
      </c>
    </row>
    <row r="344" spans="1:3">
      <c r="A344" s="61">
        <v>313</v>
      </c>
      <c r="B344" s="61">
        <v>22799.891476956975</v>
      </c>
      <c r="C344" s="61">
        <v>-3399.8914769569747</v>
      </c>
    </row>
    <row r="345" spans="1:3">
      <c r="A345" s="61">
        <v>314</v>
      </c>
      <c r="B345" s="61">
        <v>25863.783192132232</v>
      </c>
      <c r="C345" s="61">
        <v>-4263.7831921322322</v>
      </c>
    </row>
    <row r="346" spans="1:3">
      <c r="A346" s="61">
        <v>315</v>
      </c>
      <c r="B346" s="61">
        <v>26418.636861536717</v>
      </c>
      <c r="C346" s="61">
        <v>-2618.6368615367173</v>
      </c>
    </row>
    <row r="347" spans="1:3">
      <c r="A347" s="61">
        <v>316</v>
      </c>
      <c r="B347" s="61">
        <v>21202.853392572215</v>
      </c>
      <c r="C347" s="61">
        <v>-5002.8533925722149</v>
      </c>
    </row>
    <row r="348" spans="1:3">
      <c r="A348" s="61">
        <v>317</v>
      </c>
      <c r="B348" s="61">
        <v>18112.980791076574</v>
      </c>
      <c r="C348" s="61">
        <v>-312.98079107657395</v>
      </c>
    </row>
    <row r="349" spans="1:3">
      <c r="A349" s="61">
        <v>318</v>
      </c>
      <c r="B349" s="61">
        <v>18635.997527612759</v>
      </c>
      <c r="C349" s="61">
        <v>1164.0024723872411</v>
      </c>
    </row>
    <row r="350" spans="1:3">
      <c r="A350" s="61">
        <v>319</v>
      </c>
      <c r="B350" s="61">
        <v>24339.860374892327</v>
      </c>
      <c r="C350" s="61">
        <v>-1239.8603748923269</v>
      </c>
    </row>
    <row r="351" spans="1:3">
      <c r="A351" s="61">
        <v>320</v>
      </c>
      <c r="B351" s="61">
        <v>21519.228058874134</v>
      </c>
      <c r="C351" s="61">
        <v>-519.22805887413415</v>
      </c>
    </row>
    <row r="352" spans="1:3">
      <c r="A352" s="61">
        <v>321</v>
      </c>
      <c r="B352" s="61">
        <v>25358.625493643853</v>
      </c>
      <c r="C352" s="61">
        <v>-1558.6254936438527</v>
      </c>
    </row>
    <row r="353" spans="1:3">
      <c r="A353" s="61">
        <v>322</v>
      </c>
      <c r="B353" s="61">
        <v>25417.924529618558</v>
      </c>
      <c r="C353" s="61">
        <v>-2317.9245296185582</v>
      </c>
    </row>
    <row r="354" spans="1:3">
      <c r="A354" s="61">
        <v>323</v>
      </c>
      <c r="B354" s="61">
        <v>23388.696398349814</v>
      </c>
      <c r="C354" s="61">
        <v>-2988.6963983498135</v>
      </c>
    </row>
    <row r="355" spans="1:3">
      <c r="A355" s="61">
        <v>324</v>
      </c>
      <c r="B355" s="61">
        <v>20373.684770010128</v>
      </c>
      <c r="C355" s="61">
        <v>-1873.684770010128</v>
      </c>
    </row>
    <row r="356" spans="1:3">
      <c r="A356" s="61">
        <v>325</v>
      </c>
      <c r="B356" s="61">
        <v>25565.010842462867</v>
      </c>
      <c r="C356" s="61">
        <v>-565.010842462867</v>
      </c>
    </row>
    <row r="357" spans="1:3">
      <c r="A357" s="61">
        <v>326</v>
      </c>
      <c r="B357" s="61">
        <v>25423.836004237837</v>
      </c>
      <c r="C357" s="61">
        <v>-823.83600423783719</v>
      </c>
    </row>
    <row r="358" spans="1:3">
      <c r="A358" s="61">
        <v>327</v>
      </c>
      <c r="B358" s="61">
        <v>24753.061204415419</v>
      </c>
      <c r="C358" s="61">
        <v>-1753.0612044154186</v>
      </c>
    </row>
    <row r="359" spans="1:3">
      <c r="A359" s="61">
        <v>328</v>
      </c>
      <c r="B359" s="61">
        <v>20277.508594413644</v>
      </c>
      <c r="C359" s="61">
        <v>1922.4914055863555</v>
      </c>
    </row>
    <row r="360" spans="1:3">
      <c r="A360" s="61">
        <v>329</v>
      </c>
      <c r="B360" s="61">
        <v>20870.810904959762</v>
      </c>
      <c r="C360" s="61">
        <v>-1570.8109049597624</v>
      </c>
    </row>
    <row r="361" spans="1:3">
      <c r="A361" s="61">
        <v>330</v>
      </c>
      <c r="B361" s="61">
        <v>24097.482223001065</v>
      </c>
      <c r="C361" s="61">
        <v>-1497.482223001065</v>
      </c>
    </row>
    <row r="362" spans="1:3">
      <c r="A362" s="61">
        <v>331</v>
      </c>
      <c r="B362" s="61">
        <v>22752.764252601544</v>
      </c>
      <c r="C362" s="61">
        <v>-2952.7642526015443</v>
      </c>
    </row>
    <row r="363" spans="1:3">
      <c r="A363" s="61">
        <v>332</v>
      </c>
      <c r="B363" s="61">
        <v>20431.529203631751</v>
      </c>
      <c r="C363" s="61">
        <v>-3331.5292036317514</v>
      </c>
    </row>
    <row r="364" spans="1:3">
      <c r="A364" s="61">
        <v>333</v>
      </c>
      <c r="B364" s="61">
        <v>24388.071014511137</v>
      </c>
      <c r="C364" s="61">
        <v>-4988.071014511137</v>
      </c>
    </row>
    <row r="365" spans="1:3">
      <c r="A365" s="61">
        <v>334</v>
      </c>
      <c r="B365" s="61">
        <v>25112.211406006281</v>
      </c>
      <c r="C365" s="61">
        <v>-2912.2114060062813</v>
      </c>
    </row>
    <row r="366" spans="1:3">
      <c r="A366" s="61">
        <v>335</v>
      </c>
      <c r="B366" s="61">
        <v>24453.11214464534</v>
      </c>
      <c r="C366" s="61">
        <v>-3753.1121446453399</v>
      </c>
    </row>
    <row r="367" spans="1:3">
      <c r="A367" s="61">
        <v>336</v>
      </c>
      <c r="B367" s="61">
        <v>22432.618581736075</v>
      </c>
      <c r="C367" s="61">
        <v>-1332.6185817360747</v>
      </c>
    </row>
    <row r="368" spans="1:3">
      <c r="A368" s="61">
        <v>337</v>
      </c>
      <c r="B368" s="61">
        <v>21044.937214824298</v>
      </c>
      <c r="C368" s="61">
        <v>-1544.9372148242983</v>
      </c>
    </row>
    <row r="369" spans="1:3">
      <c r="A369" s="61">
        <v>338</v>
      </c>
      <c r="B369" s="61">
        <v>21130.313327114374</v>
      </c>
      <c r="C369" s="61">
        <v>-2630.3133271143743</v>
      </c>
    </row>
    <row r="370" spans="1:3">
      <c r="A370" s="61">
        <v>339</v>
      </c>
      <c r="B370" s="61">
        <v>22313.0171470184</v>
      </c>
      <c r="C370" s="61">
        <v>-1713.0171470183996</v>
      </c>
    </row>
    <row r="371" spans="1:3">
      <c r="A371" s="61">
        <v>340</v>
      </c>
      <c r="B371" s="61">
        <v>21530.159706614486</v>
      </c>
      <c r="C371" s="61">
        <v>-2530.1597066144859</v>
      </c>
    </row>
    <row r="372" spans="1:3">
      <c r="A372" s="61">
        <v>341</v>
      </c>
      <c r="B372" s="61">
        <v>22163.796392841035</v>
      </c>
      <c r="C372" s="61">
        <v>-3463.7963928410354</v>
      </c>
    </row>
    <row r="373" spans="1:3">
      <c r="A373" s="61">
        <v>342</v>
      </c>
      <c r="B373" s="61">
        <v>32806.158987441537</v>
      </c>
      <c r="C373" s="61">
        <v>-106.1589874415331</v>
      </c>
    </row>
    <row r="374" spans="1:3">
      <c r="A374" s="61">
        <v>343</v>
      </c>
      <c r="B374" s="61">
        <v>25188.958016514411</v>
      </c>
      <c r="C374" s="61">
        <v>-8688.9580165144107</v>
      </c>
    </row>
    <row r="375" spans="1:3">
      <c r="A375" s="61">
        <v>344</v>
      </c>
      <c r="B375" s="61">
        <v>27185.397265033531</v>
      </c>
      <c r="C375" s="61">
        <v>-3285.3972650335309</v>
      </c>
    </row>
    <row r="376" spans="1:3">
      <c r="A376" s="61">
        <v>345</v>
      </c>
      <c r="B376" s="61">
        <v>28542.930714451377</v>
      </c>
      <c r="C376" s="61">
        <v>2657.0692855486232</v>
      </c>
    </row>
    <row r="377" spans="1:3">
      <c r="A377" s="61">
        <v>346</v>
      </c>
      <c r="B377" s="61">
        <v>21046.630767652128</v>
      </c>
      <c r="C377" s="61">
        <v>-3546.6307676521283</v>
      </c>
    </row>
    <row r="378" spans="1:3">
      <c r="A378" s="61">
        <v>347</v>
      </c>
      <c r="B378" s="61">
        <v>19398.18835447132</v>
      </c>
      <c r="C378" s="61">
        <v>-2198.1883544713201</v>
      </c>
    </row>
    <row r="379" spans="1:3">
      <c r="A379" s="61">
        <v>348</v>
      </c>
      <c r="B379" s="61">
        <v>26298.748972204048</v>
      </c>
      <c r="C379" s="61">
        <v>-3198.7489722040482</v>
      </c>
    </row>
    <row r="380" spans="1:3">
      <c r="A380" s="61">
        <v>349</v>
      </c>
      <c r="B380" s="61">
        <v>28728.751711771813</v>
      </c>
      <c r="C380" s="61">
        <v>-4228.7517117718126</v>
      </c>
    </row>
    <row r="381" spans="1:3">
      <c r="A381" s="61">
        <v>350</v>
      </c>
      <c r="B381" s="61">
        <v>25690.799716718051</v>
      </c>
      <c r="C381" s="61">
        <v>909.20028328194894</v>
      </c>
    </row>
    <row r="382" spans="1:3">
      <c r="A382" s="61">
        <v>351</v>
      </c>
      <c r="B382" s="61">
        <v>24110.055926949259</v>
      </c>
      <c r="C382" s="61">
        <v>-1210.0559269492587</v>
      </c>
    </row>
    <row r="383" spans="1:3">
      <c r="A383" s="61">
        <v>352</v>
      </c>
      <c r="B383" s="61">
        <v>25922.749151274238</v>
      </c>
      <c r="C383" s="61">
        <v>-1822.7491512742381</v>
      </c>
    </row>
    <row r="384" spans="1:3">
      <c r="A384" s="61">
        <v>353</v>
      </c>
      <c r="B384" s="61">
        <v>21090.613564570747</v>
      </c>
      <c r="C384" s="61">
        <v>-2490.6135645707473</v>
      </c>
    </row>
    <row r="385" spans="1:3">
      <c r="A385" s="61">
        <v>354</v>
      </c>
      <c r="B385" s="61">
        <v>32088.590640441886</v>
      </c>
      <c r="C385" s="61">
        <v>-1988.5906404418856</v>
      </c>
    </row>
    <row r="386" spans="1:3">
      <c r="A386" s="61">
        <v>355</v>
      </c>
      <c r="B386" s="61">
        <v>17289.264586887701</v>
      </c>
      <c r="C386" s="61">
        <v>910.73541311229928</v>
      </c>
    </row>
    <row r="387" spans="1:3">
      <c r="A387" s="61">
        <v>356</v>
      </c>
      <c r="B387" s="61">
        <v>19837.268727136929</v>
      </c>
      <c r="C387" s="61">
        <v>762.73127286307135</v>
      </c>
    </row>
    <row r="388" spans="1:3">
      <c r="A388" s="61">
        <v>357</v>
      </c>
      <c r="B388" s="61">
        <v>17071.31906720886</v>
      </c>
      <c r="C388" s="61">
        <v>728.68093279113964</v>
      </c>
    </row>
    <row r="389" spans="1:3">
      <c r="A389" s="61">
        <v>358</v>
      </c>
      <c r="B389" s="61">
        <v>20235.835831191445</v>
      </c>
      <c r="C389" s="61">
        <v>1464.1641688085547</v>
      </c>
    </row>
    <row r="390" spans="1:3">
      <c r="A390" s="61">
        <v>359</v>
      </c>
      <c r="B390" s="61">
        <v>19963.139565742516</v>
      </c>
      <c r="C390" s="61">
        <v>2736.8604342574836</v>
      </c>
    </row>
    <row r="391" spans="1:3">
      <c r="A391" s="61">
        <v>360</v>
      </c>
      <c r="B391" s="61">
        <v>19111.954568833993</v>
      </c>
      <c r="C391" s="61">
        <v>3488.0454311660069</v>
      </c>
    </row>
    <row r="392" spans="1:3">
      <c r="A392" s="61">
        <v>361</v>
      </c>
      <c r="B392" s="61">
        <v>23465.680222336832</v>
      </c>
      <c r="C392" s="61">
        <v>1534.3197776631678</v>
      </c>
    </row>
    <row r="393" spans="1:3">
      <c r="A393" s="61">
        <v>362</v>
      </c>
      <c r="B393" s="61">
        <v>19088.315257653532</v>
      </c>
      <c r="C393" s="61">
        <v>811.68474234646783</v>
      </c>
    </row>
    <row r="394" spans="1:3">
      <c r="A394" s="61">
        <v>363</v>
      </c>
      <c r="B394" s="61">
        <v>18009.37877935484</v>
      </c>
      <c r="C394" s="61">
        <v>2790.6212206451601</v>
      </c>
    </row>
    <row r="395" spans="1:3">
      <c r="A395" s="61">
        <v>364</v>
      </c>
      <c r="B395" s="61">
        <v>16898.620070167515</v>
      </c>
      <c r="C395" s="61">
        <v>-98.620070167515223</v>
      </c>
    </row>
    <row r="396" spans="1:3">
      <c r="A396" s="61">
        <v>365</v>
      </c>
      <c r="B396" s="61">
        <v>35171.657854017663</v>
      </c>
      <c r="C396" s="61">
        <v>-13271.657854017663</v>
      </c>
    </row>
    <row r="397" spans="1:3">
      <c r="A397" s="61">
        <v>366</v>
      </c>
      <c r="B397" s="61">
        <v>12698.068672572779</v>
      </c>
      <c r="C397" s="61">
        <v>14801.931327427221</v>
      </c>
    </row>
    <row r="398" spans="1:3">
      <c r="A398" s="61">
        <v>367</v>
      </c>
      <c r="B398" s="61">
        <v>14433.75265430619</v>
      </c>
      <c r="C398" s="61">
        <v>7466.2473456938096</v>
      </c>
    </row>
    <row r="399" spans="1:3">
      <c r="A399" s="61">
        <v>368</v>
      </c>
      <c r="B399" s="61">
        <v>11478.159520054236</v>
      </c>
      <c r="C399" s="61">
        <v>11621.840479945764</v>
      </c>
    </row>
    <row r="400" spans="1:3">
      <c r="A400" s="61">
        <v>369</v>
      </c>
      <c r="B400" s="61">
        <v>22139.00762785758</v>
      </c>
      <c r="C400" s="61">
        <v>27860.99237214242</v>
      </c>
    </row>
    <row r="401" spans="1:3">
      <c r="A401" s="61">
        <v>370</v>
      </c>
      <c r="B401" s="61">
        <v>28816.119218841479</v>
      </c>
      <c r="C401" s="61">
        <v>21183.880781158521</v>
      </c>
    </row>
    <row r="402" spans="1:3">
      <c r="A402" s="61">
        <v>371</v>
      </c>
      <c r="B402" s="61">
        <v>30678.927501684007</v>
      </c>
      <c r="C402" s="61">
        <v>19321.072498315993</v>
      </c>
    </row>
    <row r="403" spans="1:3">
      <c r="A403" s="61">
        <v>372</v>
      </c>
      <c r="B403" s="61">
        <v>23484.993252515171</v>
      </c>
      <c r="C403" s="61">
        <v>26515.006747484829</v>
      </c>
    </row>
    <row r="404" spans="1:3">
      <c r="A404" s="61">
        <v>373</v>
      </c>
      <c r="B404" s="61">
        <v>21748.948194316683</v>
      </c>
      <c r="C404" s="61">
        <v>28251.051805683317</v>
      </c>
    </row>
    <row r="405" spans="1:3">
      <c r="A405" s="61">
        <v>374</v>
      </c>
      <c r="B405" s="61">
        <v>2426.3185495246616</v>
      </c>
      <c r="C405" s="61">
        <v>11373.681450475338</v>
      </c>
    </row>
    <row r="406" spans="1:3">
      <c r="A406" s="61">
        <v>375</v>
      </c>
      <c r="B406" s="61">
        <v>-2678.5513135657129</v>
      </c>
      <c r="C406" s="61">
        <v>16478.551313565713</v>
      </c>
    </row>
    <row r="407" spans="1:3">
      <c r="A407" s="61">
        <v>376</v>
      </c>
      <c r="B407" s="61">
        <v>25164.388287712187</v>
      </c>
      <c r="C407" s="61">
        <v>-10164.388287712187</v>
      </c>
    </row>
    <row r="408" spans="1:3">
      <c r="A408" s="61">
        <v>377</v>
      </c>
      <c r="B408" s="61">
        <v>16343.015116961249</v>
      </c>
      <c r="C408" s="61">
        <v>-2443.0151169612491</v>
      </c>
    </row>
    <row r="409" spans="1:3">
      <c r="A409" s="61">
        <v>378</v>
      </c>
      <c r="B409" s="61">
        <v>18332.66896245681</v>
      </c>
      <c r="C409" s="61">
        <v>-5032.6689624568098</v>
      </c>
    </row>
    <row r="410" spans="1:3">
      <c r="A410" s="61">
        <v>379</v>
      </c>
      <c r="B410" s="61">
        <v>15056.453675294546</v>
      </c>
      <c r="C410" s="61">
        <v>-1956.453675294546</v>
      </c>
    </row>
    <row r="411" spans="1:3">
      <c r="A411" s="61">
        <v>380</v>
      </c>
      <c r="B411" s="61">
        <v>15689.762127034661</v>
      </c>
      <c r="C411" s="61">
        <v>-5489.7621270346608</v>
      </c>
    </row>
    <row r="412" spans="1:3">
      <c r="A412" s="61">
        <v>381</v>
      </c>
      <c r="B412" s="61">
        <v>21262.041240982689</v>
      </c>
      <c r="C412" s="61">
        <v>-10862.041240982689</v>
      </c>
    </row>
    <row r="413" spans="1:3">
      <c r="A413" s="61">
        <v>382</v>
      </c>
      <c r="B413" s="61">
        <v>17412.133164898973</v>
      </c>
      <c r="C413" s="61">
        <v>-6512.1331648989726</v>
      </c>
    </row>
    <row r="414" spans="1:3">
      <c r="A414" s="61">
        <v>383</v>
      </c>
      <c r="B414" s="61">
        <v>11456.266611475237</v>
      </c>
      <c r="C414" s="61">
        <v>-156.26661147523737</v>
      </c>
    </row>
    <row r="415" spans="1:3">
      <c r="A415" s="61">
        <v>384</v>
      </c>
      <c r="B415" s="61">
        <v>10809.306197375892</v>
      </c>
      <c r="C415" s="61">
        <v>1490.6938026241078</v>
      </c>
    </row>
    <row r="416" spans="1:3">
      <c r="A416" s="61">
        <v>385</v>
      </c>
      <c r="B416" s="61">
        <v>2093.6214627834233</v>
      </c>
      <c r="C416" s="61">
        <v>6706.3785372165767</v>
      </c>
    </row>
    <row r="417" spans="1:3">
      <c r="A417" s="61">
        <v>386</v>
      </c>
      <c r="B417" s="61">
        <v>5961.9953027826195</v>
      </c>
      <c r="C417" s="61">
        <v>1238.0046972173805</v>
      </c>
    </row>
    <row r="418" spans="1:3">
      <c r="A418" s="61">
        <v>387</v>
      </c>
      <c r="B418" s="61">
        <v>4977.2066117186296</v>
      </c>
      <c r="C418" s="61">
        <v>5522.7933882813704</v>
      </c>
    </row>
    <row r="419" spans="1:3">
      <c r="A419" s="61">
        <v>388</v>
      </c>
      <c r="B419" s="61">
        <v>3821.9117886281492</v>
      </c>
      <c r="C419" s="61">
        <v>3578.0882113718508</v>
      </c>
    </row>
    <row r="420" spans="1:3">
      <c r="A420" s="61">
        <v>389</v>
      </c>
      <c r="B420" s="61">
        <v>4501.7408144270994</v>
      </c>
      <c r="C420" s="61">
        <v>5698.2591855729006</v>
      </c>
    </row>
    <row r="421" spans="1:3">
      <c r="A421" s="61">
        <v>390</v>
      </c>
      <c r="B421" s="61">
        <v>12481.907712574737</v>
      </c>
      <c r="C421" s="61">
        <v>-981.90771257473716</v>
      </c>
    </row>
    <row r="422" spans="1:3">
      <c r="A422" s="61">
        <v>391</v>
      </c>
      <c r="B422" s="61">
        <v>16015.153476357134</v>
      </c>
      <c r="C422" s="61">
        <v>-915.15347635713442</v>
      </c>
    </row>
    <row r="423" spans="1:3">
      <c r="A423" s="61">
        <v>392</v>
      </c>
      <c r="B423" s="61">
        <v>15933.492242954213</v>
      </c>
      <c r="C423" s="61">
        <v>7266.507757045787</v>
      </c>
    </row>
    <row r="424" spans="1:3">
      <c r="A424" s="61">
        <v>393</v>
      </c>
      <c r="B424" s="61">
        <v>8035.9959440133334</v>
      </c>
      <c r="C424" s="61">
        <v>1664.0040559866666</v>
      </c>
    </row>
    <row r="425" spans="1:3">
      <c r="A425" s="61">
        <v>394</v>
      </c>
      <c r="B425" s="61">
        <v>19096.382693551084</v>
      </c>
      <c r="C425" s="61">
        <v>-5296.3826935510842</v>
      </c>
    </row>
    <row r="426" spans="1:3">
      <c r="A426" s="61">
        <v>395</v>
      </c>
      <c r="B426" s="61">
        <v>17189.064656169499</v>
      </c>
      <c r="C426" s="61">
        <v>-4489.0646561694994</v>
      </c>
    </row>
    <row r="427" spans="1:3">
      <c r="A427" s="61">
        <v>396</v>
      </c>
      <c r="B427" s="61">
        <v>19267.39921886511</v>
      </c>
      <c r="C427" s="61">
        <v>-6167.39921886511</v>
      </c>
    </row>
    <row r="428" spans="1:3">
      <c r="A428" s="61">
        <v>397</v>
      </c>
      <c r="B428" s="61">
        <v>17541.291993785686</v>
      </c>
      <c r="C428" s="61">
        <v>-5041.2919937856859</v>
      </c>
    </row>
    <row r="429" spans="1:3">
      <c r="A429" s="61">
        <v>398</v>
      </c>
      <c r="B429" s="61">
        <v>14589.407198831484</v>
      </c>
      <c r="C429" s="61">
        <v>-6089.4071988314845</v>
      </c>
    </row>
    <row r="430" spans="1:3">
      <c r="A430" s="61">
        <v>399</v>
      </c>
      <c r="B430" s="61">
        <v>6955.6982420142849</v>
      </c>
      <c r="C430" s="61">
        <v>-1955.6982420142849</v>
      </c>
    </row>
    <row r="431" spans="1:3">
      <c r="A431" s="61">
        <v>400</v>
      </c>
      <c r="B431" s="61">
        <v>8245.8029900354595</v>
      </c>
      <c r="C431" s="61">
        <v>-1945.8029900354595</v>
      </c>
    </row>
    <row r="432" spans="1:3">
      <c r="A432" s="61">
        <v>401</v>
      </c>
      <c r="B432" s="61">
        <v>11470.407123540786</v>
      </c>
      <c r="C432" s="61">
        <v>-5870.4071235407864</v>
      </c>
    </row>
    <row r="433" spans="1:3">
      <c r="A433" s="61">
        <v>402</v>
      </c>
      <c r="B433" s="61">
        <v>16842.351442103318</v>
      </c>
      <c r="C433" s="61">
        <v>-9642.3514421033178</v>
      </c>
    </row>
    <row r="434" spans="1:3">
      <c r="A434" s="61">
        <v>403</v>
      </c>
      <c r="B434" s="61">
        <v>17100.056641427844</v>
      </c>
      <c r="C434" s="61">
        <v>-5000.0566414278437</v>
      </c>
    </row>
    <row r="435" spans="1:3">
      <c r="A435" s="61">
        <v>404</v>
      </c>
      <c r="B435" s="61">
        <v>12942.733060178041</v>
      </c>
      <c r="C435" s="61">
        <v>-4642.7330601780413</v>
      </c>
    </row>
    <row r="436" spans="1:3">
      <c r="A436" s="61">
        <v>405</v>
      </c>
      <c r="B436" s="61">
        <v>8739.1956938985459</v>
      </c>
      <c r="C436" s="61">
        <v>-239.19569389854587</v>
      </c>
    </row>
    <row r="437" spans="1:3">
      <c r="A437" s="61">
        <v>406</v>
      </c>
      <c r="B437" s="61">
        <v>12509.818238893215</v>
      </c>
      <c r="C437" s="61">
        <v>-7509.8182388932146</v>
      </c>
    </row>
    <row r="438" spans="1:3">
      <c r="A438" s="61">
        <v>407</v>
      </c>
      <c r="B438" s="61">
        <v>6267.3833283458644</v>
      </c>
      <c r="C438" s="61">
        <v>5632.6166716541356</v>
      </c>
    </row>
    <row r="439" spans="1:3">
      <c r="A439" s="61">
        <v>408</v>
      </c>
      <c r="B439" s="61">
        <v>19115.65824981733</v>
      </c>
      <c r="C439" s="61">
        <v>8784.3417501826698</v>
      </c>
    </row>
    <row r="440" spans="1:3">
      <c r="A440" s="61">
        <v>409</v>
      </c>
      <c r="B440" s="61">
        <v>11084.908813957309</v>
      </c>
      <c r="C440" s="61">
        <v>6115.0911860426913</v>
      </c>
    </row>
    <row r="441" spans="1:3">
      <c r="A441" s="61">
        <v>410</v>
      </c>
      <c r="B441" s="61">
        <v>20255.180842401474</v>
      </c>
      <c r="C441" s="61">
        <v>7244.8191575985256</v>
      </c>
    </row>
    <row r="442" spans="1:3">
      <c r="A442" s="61">
        <v>411</v>
      </c>
      <c r="B442" s="61">
        <v>21589.682589486059</v>
      </c>
      <c r="C442" s="61">
        <v>-6589.6825894860594</v>
      </c>
    </row>
    <row r="443" spans="1:3">
      <c r="A443" s="61">
        <v>412</v>
      </c>
      <c r="B443" s="61">
        <v>18579.285029248964</v>
      </c>
      <c r="C443" s="61">
        <v>-1379.2850292489638</v>
      </c>
    </row>
    <row r="444" spans="1:3">
      <c r="A444" s="61">
        <v>413</v>
      </c>
      <c r="B444" s="61">
        <v>2250.8639525004437</v>
      </c>
      <c r="C444" s="61">
        <v>15649.136047499556</v>
      </c>
    </row>
    <row r="445" spans="1:3">
      <c r="A445" s="61">
        <v>414</v>
      </c>
      <c r="B445" s="61">
        <v>13072.712234224051</v>
      </c>
      <c r="C445" s="61">
        <v>3227.2877657759491</v>
      </c>
    </row>
    <row r="446" spans="1:3">
      <c r="A446" s="61">
        <v>415</v>
      </c>
      <c r="B446" s="61">
        <v>-764.45757797710394</v>
      </c>
      <c r="C446" s="61">
        <v>7764.4575779771039</v>
      </c>
    </row>
    <row r="447" spans="1:3">
      <c r="A447" s="61">
        <v>416</v>
      </c>
      <c r="B447" s="61">
        <v>12078.546456352069</v>
      </c>
      <c r="C447" s="61">
        <v>-4878.5464563520691</v>
      </c>
    </row>
    <row r="448" spans="1:3">
      <c r="A448" s="61">
        <v>417</v>
      </c>
      <c r="B448" s="61">
        <v>15184.027277605581</v>
      </c>
      <c r="C448" s="61">
        <v>-7684.0272776055808</v>
      </c>
    </row>
    <row r="449" spans="1:3">
      <c r="A449" s="61">
        <v>418</v>
      </c>
      <c r="B449" s="61">
        <v>8516.2093336195758</v>
      </c>
      <c r="C449" s="61">
        <v>1883.7906663804242</v>
      </c>
    </row>
    <row r="450" spans="1:3">
      <c r="A450" s="61">
        <v>419</v>
      </c>
      <c r="B450" s="61">
        <v>15212.190510427119</v>
      </c>
      <c r="C450" s="61">
        <v>-6412.1905104271191</v>
      </c>
    </row>
    <row r="451" spans="1:3">
      <c r="A451" s="61">
        <v>420</v>
      </c>
      <c r="B451" s="61">
        <v>16331.427351786848</v>
      </c>
      <c r="C451" s="61">
        <v>-7931.4273517868478</v>
      </c>
    </row>
    <row r="452" spans="1:3">
      <c r="A452" s="61">
        <v>421</v>
      </c>
      <c r="B452" s="61">
        <v>20073.409899070994</v>
      </c>
      <c r="C452" s="61">
        <v>-3373.4098990709936</v>
      </c>
    </row>
    <row r="453" spans="1:3">
      <c r="A453" s="61">
        <v>422</v>
      </c>
      <c r="B453" s="61">
        <v>17836.292344843045</v>
      </c>
      <c r="C453" s="61">
        <v>-3636.2923448430447</v>
      </c>
    </row>
    <row r="454" spans="1:3">
      <c r="A454" s="61">
        <v>423</v>
      </c>
      <c r="B454" s="61">
        <v>18142.391441923872</v>
      </c>
      <c r="C454" s="61">
        <v>2657.6085580761282</v>
      </c>
    </row>
    <row r="455" spans="1:3">
      <c r="A455" s="61">
        <v>424</v>
      </c>
      <c r="B455" s="61">
        <v>14375.728615330474</v>
      </c>
      <c r="C455" s="61">
        <v>-975.72861533047399</v>
      </c>
    </row>
    <row r="456" spans="1:3">
      <c r="A456" s="61">
        <v>425</v>
      </c>
      <c r="B456" s="61">
        <v>15696.476940450069</v>
      </c>
      <c r="C456" s="61">
        <v>-3996.4769404500694</v>
      </c>
    </row>
    <row r="457" spans="1:3">
      <c r="A457" s="61">
        <v>426</v>
      </c>
      <c r="B457" s="61">
        <v>12527.585592677766</v>
      </c>
      <c r="C457" s="61">
        <v>-4227.5855926777658</v>
      </c>
    </row>
    <row r="458" spans="1:3">
      <c r="A458" s="61">
        <v>427</v>
      </c>
      <c r="B458" s="61">
        <v>17349.197573241094</v>
      </c>
      <c r="C458" s="61">
        <v>-7149.1975732410938</v>
      </c>
    </row>
    <row r="459" spans="1:3">
      <c r="A459" s="61">
        <v>428</v>
      </c>
      <c r="B459" s="61">
        <v>19212.887368689037</v>
      </c>
      <c r="C459" s="61">
        <v>-8312.8873686890365</v>
      </c>
    </row>
    <row r="460" spans="1:3">
      <c r="A460" s="61">
        <v>429</v>
      </c>
      <c r="B460" s="61">
        <v>14919.882197552255</v>
      </c>
      <c r="C460" s="61">
        <v>-3919.8821975522551</v>
      </c>
    </row>
    <row r="461" spans="1:3">
      <c r="A461" s="61">
        <v>430</v>
      </c>
      <c r="B461" s="61">
        <v>14718.498938391493</v>
      </c>
      <c r="C461" s="61">
        <v>-5218.4989383914926</v>
      </c>
    </row>
    <row r="462" spans="1:3">
      <c r="A462" s="61">
        <v>431</v>
      </c>
      <c r="B462" s="61">
        <v>19146.734566680192</v>
      </c>
      <c r="C462" s="61">
        <v>-4646.7345666801921</v>
      </c>
    </row>
    <row r="463" spans="1:3">
      <c r="A463" s="61">
        <v>432</v>
      </c>
      <c r="B463" s="61">
        <v>20177.077159178476</v>
      </c>
      <c r="C463" s="61">
        <v>-6077.077159178476</v>
      </c>
    </row>
    <row r="464" spans="1:3">
      <c r="A464" s="61">
        <v>433</v>
      </c>
      <c r="B464" s="61">
        <v>22487.17419590483</v>
      </c>
      <c r="C464" s="61">
        <v>-6387.1741959048286</v>
      </c>
    </row>
    <row r="465" spans="1:3">
      <c r="A465" s="61">
        <v>434</v>
      </c>
      <c r="B465" s="61">
        <v>19103.205988826754</v>
      </c>
      <c r="C465" s="61">
        <v>-4803.205988826754</v>
      </c>
    </row>
    <row r="466" spans="1:3">
      <c r="A466" s="61">
        <v>435</v>
      </c>
      <c r="B466" s="61">
        <v>19031.854531335885</v>
      </c>
      <c r="C466" s="61">
        <v>-7331.8545313358845</v>
      </c>
    </row>
    <row r="467" spans="1:3">
      <c r="A467" s="61">
        <v>436</v>
      </c>
      <c r="B467" s="61">
        <v>15576.349757251557</v>
      </c>
      <c r="C467" s="61">
        <v>-2176.3497572515571</v>
      </c>
    </row>
    <row r="468" spans="1:3">
      <c r="A468" s="61">
        <v>437</v>
      </c>
      <c r="B468" s="61">
        <v>17999.386975792928</v>
      </c>
      <c r="C468" s="61">
        <v>-8399.3869757929278</v>
      </c>
    </row>
    <row r="469" spans="1:3">
      <c r="A469" s="61">
        <v>438</v>
      </c>
      <c r="B469" s="61">
        <v>11861.943333210156</v>
      </c>
      <c r="C469" s="61">
        <v>-3161.9433332101562</v>
      </c>
    </row>
    <row r="470" spans="1:3">
      <c r="A470" s="61">
        <v>439</v>
      </c>
      <c r="B470" s="61">
        <v>5987.1477828943171</v>
      </c>
      <c r="C470" s="61">
        <v>2412.8522171056829</v>
      </c>
    </row>
    <row r="471" spans="1:3">
      <c r="A471" s="61">
        <v>440</v>
      </c>
      <c r="B471" s="61">
        <v>11655.587507942424</v>
      </c>
      <c r="C471" s="61">
        <v>1144.4124920575759</v>
      </c>
    </row>
    <row r="472" spans="1:3">
      <c r="A472" s="61">
        <v>441</v>
      </c>
      <c r="B472" s="61">
        <v>12860.12228565192</v>
      </c>
      <c r="C472" s="61">
        <v>-2360.1222856519198</v>
      </c>
    </row>
    <row r="473" spans="1:3">
      <c r="A473" s="61">
        <v>442</v>
      </c>
      <c r="B473" s="61">
        <v>17011.348384122881</v>
      </c>
      <c r="C473" s="61">
        <v>88.651615877119184</v>
      </c>
    </row>
    <row r="474" spans="1:3">
      <c r="A474" s="61">
        <v>443</v>
      </c>
      <c r="B474" s="61">
        <v>18105.220274337935</v>
      </c>
      <c r="C474" s="61">
        <v>294.77972566206518</v>
      </c>
    </row>
    <row r="475" spans="1:3">
      <c r="A475" s="61">
        <v>444</v>
      </c>
      <c r="B475" s="61">
        <v>17834.935040054457</v>
      </c>
      <c r="C475" s="61">
        <v>-2434.9350400544572</v>
      </c>
    </row>
    <row r="476" spans="1:3">
      <c r="A476" s="61">
        <v>445</v>
      </c>
      <c r="B476" s="61">
        <v>12130.298408159742</v>
      </c>
      <c r="C476" s="61">
        <v>-1330.2984081597424</v>
      </c>
    </row>
    <row r="477" spans="1:3">
      <c r="A477" s="61">
        <v>446</v>
      </c>
      <c r="B477" s="61">
        <v>14451.943936047743</v>
      </c>
      <c r="C477" s="61">
        <v>-2651.9439360477427</v>
      </c>
    </row>
    <row r="478" spans="1:3">
      <c r="A478" s="61">
        <v>447</v>
      </c>
      <c r="B478" s="61">
        <v>17763.770491360723</v>
      </c>
      <c r="C478" s="61">
        <v>-2863.7704913607231</v>
      </c>
    </row>
    <row r="479" spans="1:3">
      <c r="A479" s="61">
        <v>448</v>
      </c>
      <c r="B479" s="61">
        <v>18216.030307876616</v>
      </c>
      <c r="C479" s="61">
        <v>-5616.0303078766156</v>
      </c>
    </row>
    <row r="480" spans="1:3">
      <c r="A480" s="61">
        <v>449</v>
      </c>
      <c r="B480" s="61">
        <v>17267.556624038058</v>
      </c>
      <c r="C480" s="61">
        <v>-3167.5566240380576</v>
      </c>
    </row>
    <row r="481" spans="1:3">
      <c r="A481" s="61">
        <v>450</v>
      </c>
      <c r="B481" s="61">
        <v>17497.403485572497</v>
      </c>
      <c r="C481" s="61">
        <v>-4497.4034855724967</v>
      </c>
    </row>
    <row r="482" spans="1:3">
      <c r="A482" s="61">
        <v>451</v>
      </c>
      <c r="B482" s="61">
        <v>19810.977762951639</v>
      </c>
      <c r="C482" s="61">
        <v>-6410.9777629516393</v>
      </c>
    </row>
    <row r="483" spans="1:3">
      <c r="A483" s="61">
        <v>452</v>
      </c>
      <c r="B483" s="61">
        <v>19432.123267407736</v>
      </c>
      <c r="C483" s="61">
        <v>-4232.1232674077364</v>
      </c>
    </row>
    <row r="484" spans="1:3">
      <c r="A484" s="61">
        <v>453</v>
      </c>
      <c r="B484" s="61">
        <v>18022.794903048452</v>
      </c>
      <c r="C484" s="61">
        <v>-1922.7949030484506</v>
      </c>
    </row>
    <row r="485" spans="1:3">
      <c r="A485" s="61">
        <v>454</v>
      </c>
      <c r="B485" s="61">
        <v>23112.055504898817</v>
      </c>
      <c r="C485" s="61">
        <v>-5312.0555048988172</v>
      </c>
    </row>
    <row r="486" spans="1:3">
      <c r="A486" s="61">
        <v>455</v>
      </c>
      <c r="B486" s="61">
        <v>19005.19306726884</v>
      </c>
      <c r="C486" s="61">
        <v>-4105.1930672688395</v>
      </c>
    </row>
    <row r="487" spans="1:3">
      <c r="A487" s="61">
        <v>456</v>
      </c>
      <c r="B487" s="61">
        <v>18268.409552897589</v>
      </c>
      <c r="C487" s="61">
        <v>-4168.4095528975886</v>
      </c>
    </row>
    <row r="488" spans="1:3">
      <c r="A488" s="61">
        <v>457</v>
      </c>
      <c r="B488" s="61">
        <v>15517.095870768992</v>
      </c>
      <c r="C488" s="61">
        <v>-2817.0958707689915</v>
      </c>
    </row>
    <row r="489" spans="1:3">
      <c r="A489" s="61">
        <v>458</v>
      </c>
      <c r="B489" s="61">
        <v>16354.451126961301</v>
      </c>
      <c r="C489" s="61">
        <v>-2854.4511269613013</v>
      </c>
    </row>
    <row r="490" spans="1:3">
      <c r="A490" s="61">
        <v>459</v>
      </c>
      <c r="B490" s="61">
        <v>18401.889252729707</v>
      </c>
      <c r="C490" s="61">
        <v>-3501.8892527297066</v>
      </c>
    </row>
    <row r="491" spans="1:3">
      <c r="A491" s="61">
        <v>460</v>
      </c>
      <c r="B491" s="61">
        <v>18443.234255545285</v>
      </c>
      <c r="C491" s="61">
        <v>1556.7657444547149</v>
      </c>
    </row>
    <row r="492" spans="1:3">
      <c r="A492" s="61">
        <v>461</v>
      </c>
      <c r="B492" s="61">
        <v>20144.586823477242</v>
      </c>
      <c r="C492" s="61">
        <v>-3744.5868234772424</v>
      </c>
    </row>
    <row r="493" spans="1:3">
      <c r="A493" s="61">
        <v>462</v>
      </c>
      <c r="B493" s="61">
        <v>19822.245404291571</v>
      </c>
      <c r="C493" s="61">
        <v>-2122.2454042915706</v>
      </c>
    </row>
    <row r="494" spans="1:3">
      <c r="A494" s="61">
        <v>463</v>
      </c>
      <c r="B494" s="61">
        <v>19800.399075534337</v>
      </c>
      <c r="C494" s="61">
        <v>-300.39907553433659</v>
      </c>
    </row>
    <row r="495" spans="1:3">
      <c r="A495" s="61">
        <v>464</v>
      </c>
      <c r="B495" s="61">
        <v>23075.331562003495</v>
      </c>
      <c r="C495" s="61">
        <v>-2875.3315620034955</v>
      </c>
    </row>
    <row r="496" spans="1:3">
      <c r="A496" s="61">
        <v>465</v>
      </c>
      <c r="B496" s="61">
        <v>19836.982666304088</v>
      </c>
      <c r="C496" s="61">
        <v>1563.0173336959124</v>
      </c>
    </row>
    <row r="497" spans="1:3">
      <c r="A497" s="61">
        <v>466</v>
      </c>
      <c r="B497" s="61">
        <v>16863.345368691298</v>
      </c>
      <c r="C497" s="61">
        <v>3036.6546313087019</v>
      </c>
    </row>
    <row r="498" spans="1:3">
      <c r="A498" s="61">
        <v>467</v>
      </c>
      <c r="B498" s="61">
        <v>17034.105901692732</v>
      </c>
      <c r="C498" s="61">
        <v>1965.894098307268</v>
      </c>
    </row>
    <row r="499" spans="1:3">
      <c r="A499" s="61">
        <v>468</v>
      </c>
      <c r="B499" s="61">
        <v>15773.115285506168</v>
      </c>
      <c r="C499" s="61">
        <v>3326.8847144938318</v>
      </c>
    </row>
    <row r="500" spans="1:3">
      <c r="A500" s="61">
        <v>469</v>
      </c>
      <c r="B500" s="61">
        <v>16653.031535602808</v>
      </c>
      <c r="C500" s="61">
        <v>2446.9684643971923</v>
      </c>
    </row>
    <row r="501" spans="1:3">
      <c r="A501" s="61">
        <v>470</v>
      </c>
      <c r="B501" s="61">
        <v>17342.72349364766</v>
      </c>
      <c r="C501" s="61">
        <v>2757.2765063523402</v>
      </c>
    </row>
    <row r="502" spans="1:3">
      <c r="A502" s="61">
        <v>471</v>
      </c>
      <c r="B502" s="61">
        <v>19188.917119259564</v>
      </c>
      <c r="C502" s="61">
        <v>711.08288074043594</v>
      </c>
    </row>
    <row r="503" spans="1:3">
      <c r="A503" s="61">
        <v>472</v>
      </c>
      <c r="B503" s="61">
        <v>22228.095018068183</v>
      </c>
      <c r="C503" s="61">
        <v>-2628.095018068183</v>
      </c>
    </row>
    <row r="504" spans="1:3">
      <c r="A504" s="61">
        <v>473</v>
      </c>
      <c r="B504" s="61">
        <v>21174.336508683104</v>
      </c>
      <c r="C504" s="61">
        <v>2025.6634913168964</v>
      </c>
    </row>
    <row r="505" spans="1:3">
      <c r="A505" s="61">
        <v>474</v>
      </c>
      <c r="B505" s="61">
        <v>24455.40553501853</v>
      </c>
      <c r="C505" s="61">
        <v>5344.5944649814701</v>
      </c>
    </row>
    <row r="506" spans="1:3">
      <c r="A506" s="61">
        <v>475</v>
      </c>
      <c r="B506" s="61">
        <v>15350.893146331704</v>
      </c>
      <c r="C506" s="61">
        <v>-1550.893146331704</v>
      </c>
    </row>
    <row r="507" spans="1:3">
      <c r="A507" s="61">
        <v>476</v>
      </c>
      <c r="B507" s="61">
        <v>14842.233431185234</v>
      </c>
      <c r="C507" s="61">
        <v>-1542.2334311852337</v>
      </c>
    </row>
    <row r="508" spans="1:3">
      <c r="A508" s="61">
        <v>477</v>
      </c>
      <c r="B508" s="61">
        <v>19017.263742568342</v>
      </c>
      <c r="C508" s="61">
        <v>-2317.2637425683424</v>
      </c>
    </row>
    <row r="509" spans="1:3">
      <c r="A509" s="61">
        <v>478</v>
      </c>
      <c r="B509" s="61">
        <v>10500.927397353704</v>
      </c>
      <c r="C509" s="61">
        <v>1499.0726026462962</v>
      </c>
    </row>
    <row r="510" spans="1:3">
      <c r="A510" s="61">
        <v>479</v>
      </c>
      <c r="B510" s="61">
        <v>18279.200434453771</v>
      </c>
      <c r="C510" s="61">
        <v>-3679.2004344537709</v>
      </c>
    </row>
    <row r="511" spans="1:3">
      <c r="A511" s="61">
        <v>480</v>
      </c>
      <c r="B511" s="61">
        <v>21151.570580538613</v>
      </c>
      <c r="C511" s="61">
        <v>248.42941946138671</v>
      </c>
    </row>
    <row r="512" spans="1:3">
      <c r="A512" s="61">
        <v>481</v>
      </c>
      <c r="B512" s="61">
        <v>22714.406414127312</v>
      </c>
      <c r="C512" s="61">
        <v>285.59358587268798</v>
      </c>
    </row>
    <row r="513" spans="1:3">
      <c r="A513" s="61">
        <v>482</v>
      </c>
      <c r="B513" s="61">
        <v>26961.559087820606</v>
      </c>
      <c r="C513" s="61">
        <v>-3261.5590878206058</v>
      </c>
    </row>
    <row r="514" spans="1:3">
      <c r="A514" s="61">
        <v>483</v>
      </c>
      <c r="B514" s="61">
        <v>28755.509626881936</v>
      </c>
      <c r="C514" s="61">
        <v>-3755.5096268819361</v>
      </c>
    </row>
    <row r="515" spans="1:3">
      <c r="A515" s="61">
        <v>484</v>
      </c>
      <c r="B515" s="61">
        <v>20124.219249559384</v>
      </c>
      <c r="C515" s="61">
        <v>1675.7807504406155</v>
      </c>
    </row>
    <row r="516" spans="1:3">
      <c r="A516" s="61">
        <v>485</v>
      </c>
      <c r="B516" s="61">
        <v>18335.618240085067</v>
      </c>
      <c r="C516" s="61">
        <v>2264.3817599149334</v>
      </c>
    </row>
    <row r="517" spans="1:3">
      <c r="A517" s="61">
        <v>486</v>
      </c>
      <c r="B517" s="61">
        <v>22154.53927374546</v>
      </c>
      <c r="C517" s="61">
        <v>-954.53927374546038</v>
      </c>
    </row>
    <row r="518" spans="1:3">
      <c r="A518" s="61">
        <v>487</v>
      </c>
      <c r="B518" s="61">
        <v>19593.880974849682</v>
      </c>
      <c r="C518" s="61">
        <v>-493.88097484968239</v>
      </c>
    </row>
    <row r="519" spans="1:3">
      <c r="A519" s="61">
        <v>488</v>
      </c>
      <c r="B519" s="61">
        <v>19991.800280584397</v>
      </c>
      <c r="C519" s="61">
        <v>608.19971941560289</v>
      </c>
    </row>
    <row r="520" spans="1:3">
      <c r="A520" s="61">
        <v>489</v>
      </c>
      <c r="B520" s="61">
        <v>10651.68225560238</v>
      </c>
      <c r="C520" s="61">
        <v>4548.3177443976201</v>
      </c>
    </row>
    <row r="521" spans="1:3">
      <c r="A521" s="61">
        <v>490</v>
      </c>
      <c r="B521" s="61">
        <v>7094.6079188100703</v>
      </c>
      <c r="C521" s="61">
        <v>-94.607918810070259</v>
      </c>
    </row>
    <row r="522" spans="1:3">
      <c r="A522" s="61">
        <v>491</v>
      </c>
      <c r="B522" s="61">
        <v>2304.9923943931135</v>
      </c>
      <c r="C522" s="61">
        <v>5795.0076056068865</v>
      </c>
    </row>
    <row r="523" spans="1:3">
      <c r="A523" s="61">
        <v>492</v>
      </c>
      <c r="B523" s="61">
        <v>13028.907000752502</v>
      </c>
      <c r="C523" s="61">
        <v>571.09299924749757</v>
      </c>
    </row>
    <row r="524" spans="1:3">
      <c r="A524" s="61">
        <v>493</v>
      </c>
      <c r="B524" s="61">
        <v>15381.353917401575</v>
      </c>
      <c r="C524" s="61">
        <v>4718.646082598425</v>
      </c>
    </row>
    <row r="525" spans="1:3">
      <c r="A525" s="61">
        <v>494</v>
      </c>
      <c r="B525" s="61">
        <v>18081.581374422774</v>
      </c>
      <c r="C525" s="61">
        <v>3718.4186255772256</v>
      </c>
    </row>
    <row r="526" spans="1:3">
      <c r="A526" s="61">
        <v>495</v>
      </c>
      <c r="B526" s="61">
        <v>17653.448861960002</v>
      </c>
      <c r="C526" s="61">
        <v>6846.5511380399985</v>
      </c>
    </row>
    <row r="527" spans="1:3">
      <c r="A527" s="61">
        <v>496</v>
      </c>
      <c r="B527" s="61">
        <v>13716.137633557233</v>
      </c>
      <c r="C527" s="61">
        <v>9383.8623664427669</v>
      </c>
    </row>
    <row r="528" spans="1:3">
      <c r="A528" s="61">
        <v>497</v>
      </c>
      <c r="B528" s="61">
        <v>11871.17422151077</v>
      </c>
      <c r="C528" s="61">
        <v>7828.8257784892303</v>
      </c>
    </row>
    <row r="529" spans="1:3">
      <c r="A529" s="61">
        <v>498</v>
      </c>
      <c r="B529" s="61">
        <v>17722.434617524414</v>
      </c>
      <c r="C529" s="61">
        <v>577.56538247558638</v>
      </c>
    </row>
    <row r="530" spans="1:3">
      <c r="A530" s="61">
        <v>499</v>
      </c>
      <c r="B530" s="61">
        <v>19190.197795848515</v>
      </c>
      <c r="C530" s="61">
        <v>2009.8022041514851</v>
      </c>
    </row>
    <row r="531" spans="1:3">
      <c r="A531" s="61">
        <v>500</v>
      </c>
      <c r="B531" s="61">
        <v>16284.556204937966</v>
      </c>
      <c r="C531" s="61">
        <v>1215.443795062034</v>
      </c>
    </row>
    <row r="532" spans="1:3">
      <c r="A532" s="61">
        <v>501</v>
      </c>
      <c r="B532" s="61">
        <v>18844.190390023548</v>
      </c>
      <c r="C532" s="61">
        <v>-2044.1903900235484</v>
      </c>
    </row>
    <row r="533" spans="1:3">
      <c r="A533" s="61">
        <v>502</v>
      </c>
      <c r="B533" s="61">
        <v>22534.980518998895</v>
      </c>
      <c r="C533" s="61">
        <v>-134.98051899889469</v>
      </c>
    </row>
    <row r="534" spans="1:3">
      <c r="A534" s="61">
        <v>503</v>
      </c>
      <c r="B534" s="61">
        <v>21190.983377010292</v>
      </c>
      <c r="C534" s="61">
        <v>-590.98337701029232</v>
      </c>
    </row>
    <row r="535" spans="1:3">
      <c r="A535" s="61">
        <v>504</v>
      </c>
      <c r="B535" s="61">
        <v>27275.10267031804</v>
      </c>
      <c r="C535" s="61">
        <v>-3375.1026703180396</v>
      </c>
    </row>
    <row r="536" spans="1:3">
      <c r="A536" s="61">
        <v>505</v>
      </c>
      <c r="B536" s="61">
        <v>25959.944090126199</v>
      </c>
      <c r="C536" s="61">
        <v>-3959.9440901261987</v>
      </c>
    </row>
    <row r="537" spans="1:3" ht="15.75" thickBot="1">
      <c r="A537" s="62">
        <v>506</v>
      </c>
      <c r="B537" s="62">
        <v>21680.915646892536</v>
      </c>
      <c r="C537" s="62">
        <v>-9780.9156468925357</v>
      </c>
    </row>
  </sheetData>
  <autoFilter ref="L34:M34" xr:uid="{898AF351-AE40-4FAC-AC29-060D43226A27}">
    <sortState xmlns:xlrd2="http://schemas.microsoft.com/office/spreadsheetml/2017/richdata2" ref="L35:M42">
      <sortCondition ref="M34"/>
    </sortState>
  </autoFilter>
  <mergeCells count="1">
    <mergeCell ref="L4:O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41E5A-7E50-46E8-8942-72FB45D6F111}">
  <dimension ref="A1:J507"/>
  <sheetViews>
    <sheetView workbookViewId="0">
      <selection activeCell="N8" sqref="N8"/>
    </sheetView>
  </sheetViews>
  <sheetFormatPr defaultRowHeight="15"/>
  <sheetData>
    <row r="1" spans="1:10">
      <c r="A1" s="2" t="s">
        <v>3</v>
      </c>
      <c r="B1" s="2" t="s">
        <v>6</v>
      </c>
      <c r="C1" s="2" t="s">
        <v>5</v>
      </c>
      <c r="D1" s="2" t="s">
        <v>0</v>
      </c>
      <c r="E1" s="2" t="s">
        <v>7</v>
      </c>
      <c r="F1" s="2" t="s">
        <v>8</v>
      </c>
      <c r="G1" s="2" t="s">
        <v>1</v>
      </c>
      <c r="H1" s="2" t="s">
        <v>4</v>
      </c>
      <c r="I1" s="2" t="s">
        <v>2</v>
      </c>
      <c r="J1" s="2" t="s">
        <v>9</v>
      </c>
    </row>
    <row r="2" spans="1:10">
      <c r="A2" s="4">
        <v>6.32</v>
      </c>
      <c r="B2" s="6">
        <v>0.65200000000000002</v>
      </c>
      <c r="C2" s="7">
        <v>2.31</v>
      </c>
      <c r="D2" s="6">
        <v>0.53800000000000003</v>
      </c>
      <c r="E2" s="1">
        <v>1</v>
      </c>
      <c r="F2" s="8">
        <v>296</v>
      </c>
      <c r="G2" s="1">
        <v>15.3</v>
      </c>
      <c r="H2" s="9">
        <v>6.5750000000000002</v>
      </c>
      <c r="I2" s="1">
        <v>4.9800000000000004</v>
      </c>
      <c r="J2" s="1">
        <v>24</v>
      </c>
    </row>
    <row r="3" spans="1:10">
      <c r="A3" s="5">
        <v>4.3099999999999996</v>
      </c>
      <c r="B3" s="6">
        <v>0.78900000000000003</v>
      </c>
      <c r="C3" s="7">
        <v>7.07</v>
      </c>
      <c r="D3" s="6">
        <v>0.46899999999999997</v>
      </c>
      <c r="E3" s="1">
        <v>2</v>
      </c>
      <c r="F3" s="8">
        <v>242</v>
      </c>
      <c r="G3" s="1">
        <v>17.8</v>
      </c>
      <c r="H3" s="9">
        <v>6.4210000000000003</v>
      </c>
      <c r="I3" s="1">
        <v>9.14</v>
      </c>
      <c r="J3" s="1">
        <v>21.6</v>
      </c>
    </row>
    <row r="4" spans="1:10">
      <c r="A4" s="5">
        <v>7.87</v>
      </c>
      <c r="B4" s="6">
        <v>0.61099999999999999</v>
      </c>
      <c r="C4" s="7">
        <v>7.07</v>
      </c>
      <c r="D4" s="6">
        <v>0.46899999999999997</v>
      </c>
      <c r="E4" s="1">
        <v>2</v>
      </c>
      <c r="F4" s="8">
        <v>242</v>
      </c>
      <c r="G4" s="1">
        <v>17.8</v>
      </c>
      <c r="H4" s="9">
        <v>7.1849999999999996</v>
      </c>
      <c r="I4" s="1">
        <v>4.03</v>
      </c>
      <c r="J4" s="1">
        <v>34.700000000000003</v>
      </c>
    </row>
    <row r="5" spans="1:10">
      <c r="A5" s="5">
        <v>6.47</v>
      </c>
      <c r="B5" s="6">
        <v>0.45799999999999996</v>
      </c>
      <c r="C5" s="7">
        <v>2.1800000000000002</v>
      </c>
      <c r="D5" s="6">
        <v>0.45800000000000002</v>
      </c>
      <c r="E5" s="1">
        <v>3</v>
      </c>
      <c r="F5" s="8">
        <v>222</v>
      </c>
      <c r="G5" s="1">
        <v>18.7</v>
      </c>
      <c r="H5" s="9">
        <v>6.9980000000000002</v>
      </c>
      <c r="I5" s="1">
        <v>2.94</v>
      </c>
      <c r="J5" s="1">
        <v>33.4</v>
      </c>
    </row>
    <row r="6" spans="1:10">
      <c r="A6" s="5">
        <v>5.24</v>
      </c>
      <c r="B6" s="6">
        <v>0.54200000000000004</v>
      </c>
      <c r="C6" s="7">
        <v>2.1800000000000002</v>
      </c>
      <c r="D6" s="6">
        <v>0.45800000000000002</v>
      </c>
      <c r="E6" s="1">
        <v>3</v>
      </c>
      <c r="F6" s="8">
        <v>222</v>
      </c>
      <c r="G6" s="1">
        <v>18.7</v>
      </c>
      <c r="H6" s="9">
        <v>7.1470000000000002</v>
      </c>
      <c r="I6" s="1">
        <v>5.33</v>
      </c>
      <c r="J6" s="1">
        <v>36.200000000000003</v>
      </c>
    </row>
    <row r="7" spans="1:10">
      <c r="A7" s="5">
        <v>9.75</v>
      </c>
      <c r="B7" s="6">
        <v>0.58700000000000008</v>
      </c>
      <c r="C7" s="7">
        <v>2.1800000000000002</v>
      </c>
      <c r="D7" s="6">
        <v>0.45800000000000002</v>
      </c>
      <c r="E7" s="1">
        <v>3</v>
      </c>
      <c r="F7" s="8">
        <v>222</v>
      </c>
      <c r="G7" s="1">
        <v>18.7</v>
      </c>
      <c r="H7" s="9">
        <v>6.43</v>
      </c>
      <c r="I7" s="1">
        <v>5.21</v>
      </c>
      <c r="J7" s="1">
        <v>28.7</v>
      </c>
    </row>
    <row r="8" spans="1:10">
      <c r="A8" s="5">
        <v>9.42</v>
      </c>
      <c r="B8" s="6">
        <v>0.66599999999999993</v>
      </c>
      <c r="C8" s="7">
        <v>7.87</v>
      </c>
      <c r="D8" s="6">
        <v>0.52400000000000002</v>
      </c>
      <c r="E8" s="1">
        <v>5</v>
      </c>
      <c r="F8" s="8">
        <v>311</v>
      </c>
      <c r="G8" s="1">
        <v>15.2</v>
      </c>
      <c r="H8" s="9">
        <v>6.0119999999999996</v>
      </c>
      <c r="I8" s="1">
        <v>12.43</v>
      </c>
      <c r="J8" s="1">
        <v>22.9</v>
      </c>
    </row>
    <row r="9" spans="1:10">
      <c r="A9" s="5">
        <v>2.76</v>
      </c>
      <c r="B9" s="6">
        <v>0.96099999999999997</v>
      </c>
      <c r="C9" s="7">
        <v>7.87</v>
      </c>
      <c r="D9" s="6">
        <v>0.52400000000000002</v>
      </c>
      <c r="E9" s="1">
        <v>5</v>
      </c>
      <c r="F9" s="8">
        <v>311</v>
      </c>
      <c r="G9" s="1">
        <v>15.2</v>
      </c>
      <c r="H9" s="9">
        <v>6.1719999999999997</v>
      </c>
      <c r="I9" s="1">
        <v>19.149999999999999</v>
      </c>
      <c r="J9" s="1">
        <v>27.1</v>
      </c>
    </row>
    <row r="10" spans="1:10">
      <c r="A10" s="5">
        <v>7.66</v>
      </c>
      <c r="B10" s="6">
        <v>1</v>
      </c>
      <c r="C10" s="7">
        <v>7.87</v>
      </c>
      <c r="D10" s="6">
        <v>0.52400000000000002</v>
      </c>
      <c r="E10" s="1">
        <v>5</v>
      </c>
      <c r="F10" s="8">
        <v>311</v>
      </c>
      <c r="G10" s="1">
        <v>15.2</v>
      </c>
      <c r="H10" s="9">
        <v>5.6310000000000002</v>
      </c>
      <c r="I10" s="1">
        <v>29.93</v>
      </c>
      <c r="J10" s="1">
        <v>16.5</v>
      </c>
    </row>
    <row r="11" spans="1:10">
      <c r="A11" s="5">
        <v>1.1200000000000001</v>
      </c>
      <c r="B11" s="6">
        <v>0.8590000000000001</v>
      </c>
      <c r="C11" s="7">
        <v>7.87</v>
      </c>
      <c r="D11" s="6">
        <v>0.52400000000000002</v>
      </c>
      <c r="E11" s="1">
        <v>5</v>
      </c>
      <c r="F11" s="8">
        <v>311</v>
      </c>
      <c r="G11" s="1">
        <v>15.2</v>
      </c>
      <c r="H11" s="9">
        <v>6.0039999999999996</v>
      </c>
      <c r="I11" s="1">
        <v>17.100000000000001</v>
      </c>
      <c r="J11" s="1">
        <v>18.899999999999999</v>
      </c>
    </row>
    <row r="12" spans="1:10">
      <c r="A12" s="5">
        <v>7.52</v>
      </c>
      <c r="B12" s="6">
        <v>0.94299999999999995</v>
      </c>
      <c r="C12" s="7">
        <v>7.87</v>
      </c>
      <c r="D12" s="6">
        <v>0.52400000000000002</v>
      </c>
      <c r="E12" s="1">
        <v>5</v>
      </c>
      <c r="F12" s="8">
        <v>311</v>
      </c>
      <c r="G12" s="1">
        <v>15.2</v>
      </c>
      <c r="H12" s="9">
        <v>6.3769999999999998</v>
      </c>
      <c r="I12" s="1">
        <v>20.45</v>
      </c>
      <c r="J12" s="1">
        <v>15</v>
      </c>
    </row>
    <row r="13" spans="1:10">
      <c r="A13" s="5">
        <v>1.55</v>
      </c>
      <c r="B13" s="6">
        <v>0.82900000000000007</v>
      </c>
      <c r="C13" s="7">
        <v>7.87</v>
      </c>
      <c r="D13" s="6">
        <v>0.52400000000000002</v>
      </c>
      <c r="E13" s="1">
        <v>5</v>
      </c>
      <c r="F13" s="8">
        <v>311</v>
      </c>
      <c r="G13" s="1">
        <v>15.2</v>
      </c>
      <c r="H13" s="9">
        <v>6.0090000000000003</v>
      </c>
      <c r="I13" s="1">
        <v>13.27</v>
      </c>
      <c r="J13" s="1">
        <v>18.899999999999999</v>
      </c>
    </row>
    <row r="14" spans="1:10">
      <c r="A14" s="5">
        <v>3.7</v>
      </c>
      <c r="B14" s="6">
        <v>0.39</v>
      </c>
      <c r="C14" s="7">
        <v>7.87</v>
      </c>
      <c r="D14" s="6">
        <v>0.52400000000000002</v>
      </c>
      <c r="E14" s="1">
        <v>5</v>
      </c>
      <c r="F14" s="8">
        <v>311</v>
      </c>
      <c r="G14" s="1">
        <v>15.2</v>
      </c>
      <c r="H14" s="9">
        <v>5.8890000000000002</v>
      </c>
      <c r="I14" s="1">
        <v>15.71</v>
      </c>
      <c r="J14" s="1">
        <v>21.7</v>
      </c>
    </row>
    <row r="15" spans="1:10">
      <c r="A15" s="5">
        <v>7.14</v>
      </c>
      <c r="B15" s="6">
        <v>0.61799999999999999</v>
      </c>
      <c r="C15" s="7">
        <v>8.14</v>
      </c>
      <c r="D15" s="6">
        <v>0.53800000000000003</v>
      </c>
      <c r="E15" s="1">
        <v>4</v>
      </c>
      <c r="F15" s="8">
        <v>307</v>
      </c>
      <c r="G15" s="1">
        <v>21</v>
      </c>
      <c r="H15" s="9">
        <v>5.9489999999999998</v>
      </c>
      <c r="I15" s="1">
        <v>8.26</v>
      </c>
      <c r="J15" s="1">
        <v>20.399999999999999</v>
      </c>
    </row>
    <row r="16" spans="1:10">
      <c r="A16" s="5">
        <v>0.21</v>
      </c>
      <c r="B16" s="6">
        <v>0.84499999999999997</v>
      </c>
      <c r="C16" s="7">
        <v>8.14</v>
      </c>
      <c r="D16" s="6">
        <v>0.53800000000000003</v>
      </c>
      <c r="E16" s="1">
        <v>4</v>
      </c>
      <c r="F16" s="8">
        <v>307</v>
      </c>
      <c r="G16" s="1">
        <v>21</v>
      </c>
      <c r="H16" s="9">
        <v>6.0960000000000001</v>
      </c>
      <c r="I16" s="1">
        <v>10.26</v>
      </c>
      <c r="J16" s="1">
        <v>18.2</v>
      </c>
    </row>
    <row r="17" spans="1:10">
      <c r="A17" s="5">
        <v>8.6</v>
      </c>
      <c r="B17" s="6">
        <v>0.56500000000000006</v>
      </c>
      <c r="C17" s="7">
        <v>8.14</v>
      </c>
      <c r="D17" s="6">
        <v>0.53800000000000003</v>
      </c>
      <c r="E17" s="1">
        <v>4</v>
      </c>
      <c r="F17" s="8">
        <v>307</v>
      </c>
      <c r="G17" s="1">
        <v>21</v>
      </c>
      <c r="H17" s="9">
        <v>5.8339999999999996</v>
      </c>
      <c r="I17" s="1">
        <v>8.4700000000000006</v>
      </c>
      <c r="J17" s="1">
        <v>19.899999999999999</v>
      </c>
    </row>
    <row r="18" spans="1:10">
      <c r="A18" s="5">
        <v>6.95</v>
      </c>
      <c r="B18" s="6">
        <v>0.29300000000000004</v>
      </c>
      <c r="C18" s="7">
        <v>8.14</v>
      </c>
      <c r="D18" s="6">
        <v>0.53800000000000003</v>
      </c>
      <c r="E18" s="1">
        <v>4</v>
      </c>
      <c r="F18" s="8">
        <v>307</v>
      </c>
      <c r="G18" s="1">
        <v>21</v>
      </c>
      <c r="H18" s="9">
        <v>5.9349999999999996</v>
      </c>
      <c r="I18" s="1">
        <v>6.58</v>
      </c>
      <c r="J18" s="1">
        <v>23.1</v>
      </c>
    </row>
    <row r="19" spans="1:10">
      <c r="A19" s="5">
        <v>0.8</v>
      </c>
      <c r="B19" s="6">
        <v>0.81700000000000006</v>
      </c>
      <c r="C19" s="7">
        <v>8.14</v>
      </c>
      <c r="D19" s="6">
        <v>0.53800000000000003</v>
      </c>
      <c r="E19" s="1">
        <v>4</v>
      </c>
      <c r="F19" s="8">
        <v>307</v>
      </c>
      <c r="G19" s="1">
        <v>21</v>
      </c>
      <c r="H19" s="9">
        <v>5.99</v>
      </c>
      <c r="I19" s="1">
        <v>14.67</v>
      </c>
      <c r="J19" s="1">
        <v>17.5</v>
      </c>
    </row>
    <row r="20" spans="1:10">
      <c r="A20" s="5">
        <v>8.5</v>
      </c>
      <c r="B20" s="6">
        <v>0.36600000000000005</v>
      </c>
      <c r="C20" s="7">
        <v>8.14</v>
      </c>
      <c r="D20" s="6">
        <v>0.53800000000000003</v>
      </c>
      <c r="E20" s="1">
        <v>4</v>
      </c>
      <c r="F20" s="8">
        <v>307</v>
      </c>
      <c r="G20" s="1">
        <v>21</v>
      </c>
      <c r="H20" s="9">
        <v>5.4560000000000004</v>
      </c>
      <c r="I20" s="1">
        <v>11.69</v>
      </c>
      <c r="J20" s="1">
        <v>20.2</v>
      </c>
    </row>
    <row r="21" spans="1:10">
      <c r="A21" s="5">
        <v>5.53</v>
      </c>
      <c r="B21" s="6">
        <v>0.69500000000000006</v>
      </c>
      <c r="C21" s="7">
        <v>8.14</v>
      </c>
      <c r="D21" s="6">
        <v>0.53800000000000003</v>
      </c>
      <c r="E21" s="1">
        <v>4</v>
      </c>
      <c r="F21" s="8">
        <v>307</v>
      </c>
      <c r="G21" s="1">
        <v>21</v>
      </c>
      <c r="H21" s="9">
        <v>5.7270000000000003</v>
      </c>
      <c r="I21" s="1">
        <v>11.28</v>
      </c>
      <c r="J21" s="1">
        <v>18.2</v>
      </c>
    </row>
    <row r="22" spans="1:10">
      <c r="A22" s="5">
        <v>8.39</v>
      </c>
      <c r="B22" s="6">
        <v>0.98099999999999998</v>
      </c>
      <c r="C22" s="7">
        <v>8.14</v>
      </c>
      <c r="D22" s="6">
        <v>0.53800000000000003</v>
      </c>
      <c r="E22" s="1">
        <v>4</v>
      </c>
      <c r="F22" s="8">
        <v>307</v>
      </c>
      <c r="G22" s="1">
        <v>21</v>
      </c>
      <c r="H22" s="9">
        <v>5.57</v>
      </c>
      <c r="I22" s="1">
        <v>21.02</v>
      </c>
      <c r="J22" s="1">
        <v>13.6</v>
      </c>
    </row>
    <row r="23" spans="1:10">
      <c r="A23" s="5">
        <v>8.9600000000000009</v>
      </c>
      <c r="B23" s="6">
        <v>0.89200000000000002</v>
      </c>
      <c r="C23" s="7">
        <v>8.14</v>
      </c>
      <c r="D23" s="6">
        <v>0.53800000000000003</v>
      </c>
      <c r="E23" s="1">
        <v>4</v>
      </c>
      <c r="F23" s="8">
        <v>307</v>
      </c>
      <c r="G23" s="1">
        <v>21</v>
      </c>
      <c r="H23" s="9">
        <v>5.9649999999999999</v>
      </c>
      <c r="I23" s="1">
        <v>13.83</v>
      </c>
      <c r="J23" s="1">
        <v>19.600000000000001</v>
      </c>
    </row>
    <row r="24" spans="1:10">
      <c r="A24" s="5">
        <v>9.61</v>
      </c>
      <c r="B24" s="6">
        <v>0.91700000000000004</v>
      </c>
      <c r="C24" s="7">
        <v>8.14</v>
      </c>
      <c r="D24" s="6">
        <v>0.53800000000000003</v>
      </c>
      <c r="E24" s="1">
        <v>4</v>
      </c>
      <c r="F24" s="8">
        <v>307</v>
      </c>
      <c r="G24" s="1">
        <v>21</v>
      </c>
      <c r="H24" s="9">
        <v>6.1420000000000003</v>
      </c>
      <c r="I24" s="1">
        <v>18.72</v>
      </c>
      <c r="J24" s="1">
        <v>15.2</v>
      </c>
    </row>
    <row r="25" spans="1:10">
      <c r="A25" s="5">
        <v>2.8</v>
      </c>
      <c r="B25" s="6">
        <v>1</v>
      </c>
      <c r="C25" s="7">
        <v>8.14</v>
      </c>
      <c r="D25" s="6">
        <v>0.53800000000000003</v>
      </c>
      <c r="E25" s="1">
        <v>4</v>
      </c>
      <c r="F25" s="8">
        <v>307</v>
      </c>
      <c r="G25" s="1">
        <v>21</v>
      </c>
      <c r="H25" s="9">
        <v>5.8129999999999997</v>
      </c>
      <c r="I25" s="1">
        <v>19.88</v>
      </c>
      <c r="J25" s="1">
        <v>14.5</v>
      </c>
    </row>
    <row r="26" spans="1:10">
      <c r="A26" s="5">
        <v>1.29</v>
      </c>
      <c r="B26" s="6">
        <v>0.94099999999999995</v>
      </c>
      <c r="C26" s="7">
        <v>8.14</v>
      </c>
      <c r="D26" s="6">
        <v>0.53800000000000003</v>
      </c>
      <c r="E26" s="1">
        <v>4</v>
      </c>
      <c r="F26" s="8">
        <v>307</v>
      </c>
      <c r="G26" s="1">
        <v>21</v>
      </c>
      <c r="H26" s="9">
        <v>5.9240000000000004</v>
      </c>
      <c r="I26" s="1">
        <v>16.3</v>
      </c>
      <c r="J26" s="1">
        <v>15.6</v>
      </c>
    </row>
    <row r="27" spans="1:10">
      <c r="A27" s="5">
        <v>5.71</v>
      </c>
      <c r="B27" s="6">
        <v>0.8570000000000001</v>
      </c>
      <c r="C27" s="7">
        <v>8.14</v>
      </c>
      <c r="D27" s="6">
        <v>0.53800000000000003</v>
      </c>
      <c r="E27" s="1">
        <v>4</v>
      </c>
      <c r="F27" s="8">
        <v>307</v>
      </c>
      <c r="G27" s="1">
        <v>21</v>
      </c>
      <c r="H27" s="9">
        <v>5.5990000000000002</v>
      </c>
      <c r="I27" s="1">
        <v>16.510000000000002</v>
      </c>
      <c r="J27" s="1">
        <v>13.9</v>
      </c>
    </row>
    <row r="28" spans="1:10">
      <c r="A28" s="5">
        <v>0.82</v>
      </c>
      <c r="B28" s="6">
        <v>0.90300000000000002</v>
      </c>
      <c r="C28" s="7">
        <v>8.14</v>
      </c>
      <c r="D28" s="6">
        <v>0.53800000000000003</v>
      </c>
      <c r="E28" s="1">
        <v>4</v>
      </c>
      <c r="F28" s="8">
        <v>307</v>
      </c>
      <c r="G28" s="1">
        <v>21</v>
      </c>
      <c r="H28" s="9">
        <v>5.8129999999999997</v>
      </c>
      <c r="I28" s="1">
        <v>14.81</v>
      </c>
      <c r="J28" s="1">
        <v>16.600000000000001</v>
      </c>
    </row>
    <row r="29" spans="1:10">
      <c r="A29" s="5">
        <v>5.22</v>
      </c>
      <c r="B29" s="6">
        <v>0.88800000000000001</v>
      </c>
      <c r="C29" s="7">
        <v>8.14</v>
      </c>
      <c r="D29" s="6">
        <v>0.53800000000000003</v>
      </c>
      <c r="E29" s="1">
        <v>4</v>
      </c>
      <c r="F29" s="8">
        <v>307</v>
      </c>
      <c r="G29" s="1">
        <v>21</v>
      </c>
      <c r="H29" s="9">
        <v>6.0469999999999997</v>
      </c>
      <c r="I29" s="1">
        <v>17.28</v>
      </c>
      <c r="J29" s="1">
        <v>14.8</v>
      </c>
    </row>
    <row r="30" spans="1:10">
      <c r="A30" s="5">
        <v>0.37</v>
      </c>
      <c r="B30" s="6">
        <v>0.94400000000000006</v>
      </c>
      <c r="C30" s="7">
        <v>8.14</v>
      </c>
      <c r="D30" s="6">
        <v>0.53800000000000003</v>
      </c>
      <c r="E30" s="1">
        <v>4</v>
      </c>
      <c r="F30" s="8">
        <v>307</v>
      </c>
      <c r="G30" s="1">
        <v>21</v>
      </c>
      <c r="H30" s="9">
        <v>6.4950000000000001</v>
      </c>
      <c r="I30" s="1">
        <v>12.8</v>
      </c>
      <c r="J30" s="1">
        <v>18.399999999999999</v>
      </c>
    </row>
    <row r="31" spans="1:10">
      <c r="A31" s="5">
        <v>5.8</v>
      </c>
      <c r="B31" s="6">
        <v>0.873</v>
      </c>
      <c r="C31" s="7">
        <v>8.14</v>
      </c>
      <c r="D31" s="6">
        <v>0.53800000000000003</v>
      </c>
      <c r="E31" s="1">
        <v>4</v>
      </c>
      <c r="F31" s="8">
        <v>307</v>
      </c>
      <c r="G31" s="1">
        <v>21</v>
      </c>
      <c r="H31" s="9">
        <v>6.6740000000000004</v>
      </c>
      <c r="I31" s="1">
        <v>11.98</v>
      </c>
      <c r="J31" s="1">
        <v>21</v>
      </c>
    </row>
    <row r="32" spans="1:10">
      <c r="A32" s="5">
        <v>1.3</v>
      </c>
      <c r="B32" s="6">
        <v>0.94099999999999995</v>
      </c>
      <c r="C32" s="7">
        <v>8.14</v>
      </c>
      <c r="D32" s="6">
        <v>0.53800000000000003</v>
      </c>
      <c r="E32" s="1">
        <v>4</v>
      </c>
      <c r="F32" s="8">
        <v>307</v>
      </c>
      <c r="G32" s="1">
        <v>21</v>
      </c>
      <c r="H32" s="9">
        <v>5.7130000000000001</v>
      </c>
      <c r="I32" s="1">
        <v>22.6</v>
      </c>
      <c r="J32" s="1">
        <v>12.7</v>
      </c>
    </row>
    <row r="33" spans="1:10">
      <c r="A33" s="5">
        <v>0.23</v>
      </c>
      <c r="B33" s="6">
        <v>1</v>
      </c>
      <c r="C33" s="7">
        <v>8.14</v>
      </c>
      <c r="D33" s="6">
        <v>0.53800000000000003</v>
      </c>
      <c r="E33" s="1">
        <v>4</v>
      </c>
      <c r="F33" s="8">
        <v>307</v>
      </c>
      <c r="G33" s="1">
        <v>21</v>
      </c>
      <c r="H33" s="9">
        <v>6.0720000000000001</v>
      </c>
      <c r="I33" s="1">
        <v>13.04</v>
      </c>
      <c r="J33" s="1">
        <v>14.5</v>
      </c>
    </row>
    <row r="34" spans="1:10">
      <c r="A34" s="5">
        <v>1.1200000000000001</v>
      </c>
      <c r="B34" s="6">
        <v>0.82000000000000006</v>
      </c>
      <c r="C34" s="7">
        <v>8.14</v>
      </c>
      <c r="D34" s="6">
        <v>0.53800000000000003</v>
      </c>
      <c r="E34" s="1">
        <v>4</v>
      </c>
      <c r="F34" s="8">
        <v>307</v>
      </c>
      <c r="G34" s="1">
        <v>21</v>
      </c>
      <c r="H34" s="9">
        <v>5.95</v>
      </c>
      <c r="I34" s="1">
        <v>27.71</v>
      </c>
      <c r="J34" s="1">
        <v>13.2</v>
      </c>
    </row>
    <row r="35" spans="1:10">
      <c r="A35" s="5">
        <v>6.33</v>
      </c>
      <c r="B35" s="6">
        <v>0.95000000000000007</v>
      </c>
      <c r="C35" s="7">
        <v>8.14</v>
      </c>
      <c r="D35" s="6">
        <v>0.53800000000000003</v>
      </c>
      <c r="E35" s="1">
        <v>4</v>
      </c>
      <c r="F35" s="8">
        <v>307</v>
      </c>
      <c r="G35" s="1">
        <v>21</v>
      </c>
      <c r="H35" s="9">
        <v>5.7009999999999996</v>
      </c>
      <c r="I35" s="1">
        <v>18.350000000000001</v>
      </c>
      <c r="J35" s="1">
        <v>13.1</v>
      </c>
    </row>
    <row r="36" spans="1:10">
      <c r="A36" s="5">
        <v>0.04</v>
      </c>
      <c r="B36" s="6">
        <v>0.96900000000000008</v>
      </c>
      <c r="C36" s="7">
        <v>8.14</v>
      </c>
      <c r="D36" s="6">
        <v>0.53800000000000003</v>
      </c>
      <c r="E36" s="1">
        <v>4</v>
      </c>
      <c r="F36" s="8">
        <v>307</v>
      </c>
      <c r="G36" s="1">
        <v>21</v>
      </c>
      <c r="H36" s="9">
        <v>6.0960000000000001</v>
      </c>
      <c r="I36" s="1">
        <v>20.34</v>
      </c>
      <c r="J36" s="1">
        <v>13.5</v>
      </c>
    </row>
    <row r="37" spans="1:10">
      <c r="A37" s="5">
        <v>8.6</v>
      </c>
      <c r="B37" s="6">
        <v>0.68200000000000005</v>
      </c>
      <c r="C37" s="7">
        <v>5.96</v>
      </c>
      <c r="D37" s="6">
        <v>0.499</v>
      </c>
      <c r="E37" s="1">
        <v>5</v>
      </c>
      <c r="F37" s="8">
        <v>279</v>
      </c>
      <c r="G37" s="1">
        <v>19.2</v>
      </c>
      <c r="H37" s="9">
        <v>5.9329999999999998</v>
      </c>
      <c r="I37" s="1">
        <v>9.68</v>
      </c>
      <c r="J37" s="1">
        <v>18.899999999999999</v>
      </c>
    </row>
    <row r="38" spans="1:10">
      <c r="A38" s="5">
        <v>7.9</v>
      </c>
      <c r="B38" s="6">
        <v>0.61399999999999999</v>
      </c>
      <c r="C38" s="7">
        <v>5.96</v>
      </c>
      <c r="D38" s="6">
        <v>0.499</v>
      </c>
      <c r="E38" s="1">
        <v>5</v>
      </c>
      <c r="F38" s="8">
        <v>279</v>
      </c>
      <c r="G38" s="1">
        <v>19.2</v>
      </c>
      <c r="H38" s="9">
        <v>5.8410000000000002</v>
      </c>
      <c r="I38" s="1">
        <v>11.41</v>
      </c>
      <c r="J38" s="1">
        <v>20</v>
      </c>
    </row>
    <row r="39" spans="1:10">
      <c r="A39" s="5">
        <v>7.19</v>
      </c>
      <c r="B39" s="6">
        <v>0.41500000000000004</v>
      </c>
      <c r="C39" s="7">
        <v>5.96</v>
      </c>
      <c r="D39" s="6">
        <v>0.499</v>
      </c>
      <c r="E39" s="1">
        <v>5</v>
      </c>
      <c r="F39" s="8">
        <v>279</v>
      </c>
      <c r="G39" s="1">
        <v>19.2</v>
      </c>
      <c r="H39" s="9">
        <v>5.85</v>
      </c>
      <c r="I39" s="1">
        <v>8.77</v>
      </c>
      <c r="J39" s="1">
        <v>21</v>
      </c>
    </row>
    <row r="40" spans="1:10">
      <c r="A40" s="5">
        <v>3.88</v>
      </c>
      <c r="B40" s="6">
        <v>0.30199999999999999</v>
      </c>
      <c r="C40" s="7">
        <v>5.96</v>
      </c>
      <c r="D40" s="6">
        <v>0.499</v>
      </c>
      <c r="E40" s="1">
        <v>5</v>
      </c>
      <c r="F40" s="8">
        <v>279</v>
      </c>
      <c r="G40" s="1">
        <v>19.2</v>
      </c>
      <c r="H40" s="9">
        <v>5.9660000000000002</v>
      </c>
      <c r="I40" s="1">
        <v>10.130000000000001</v>
      </c>
      <c r="J40" s="1">
        <v>24.7</v>
      </c>
    </row>
    <row r="41" spans="1:10">
      <c r="A41" s="5">
        <v>8.99</v>
      </c>
      <c r="B41" s="6">
        <v>0.218</v>
      </c>
      <c r="C41" s="7">
        <v>2.95</v>
      </c>
      <c r="D41" s="6">
        <v>0.42799999999999999</v>
      </c>
      <c r="E41" s="1">
        <v>3</v>
      </c>
      <c r="F41" s="8">
        <v>252</v>
      </c>
      <c r="G41" s="1">
        <v>18.3</v>
      </c>
      <c r="H41" s="9">
        <v>6.5949999999999998</v>
      </c>
      <c r="I41" s="1">
        <v>4.32</v>
      </c>
      <c r="J41" s="1">
        <v>30.8</v>
      </c>
    </row>
    <row r="42" spans="1:10">
      <c r="A42" s="5">
        <v>1.27</v>
      </c>
      <c r="B42" s="6">
        <v>0.158</v>
      </c>
      <c r="C42" s="7">
        <v>2.95</v>
      </c>
      <c r="D42" s="6">
        <v>0.42799999999999999</v>
      </c>
      <c r="E42" s="1">
        <v>3</v>
      </c>
      <c r="F42" s="8">
        <v>252</v>
      </c>
      <c r="G42" s="1">
        <v>18.3</v>
      </c>
      <c r="H42" s="9">
        <v>7.024</v>
      </c>
      <c r="I42" s="1">
        <v>1.98</v>
      </c>
      <c r="J42" s="1">
        <v>34.9</v>
      </c>
    </row>
    <row r="43" spans="1:10">
      <c r="A43" s="5">
        <v>4.8600000000000003</v>
      </c>
      <c r="B43" s="6">
        <v>2.8999999999999998E-2</v>
      </c>
      <c r="C43" s="7">
        <v>6.91</v>
      </c>
      <c r="D43" s="6">
        <v>0.44800000000000001</v>
      </c>
      <c r="E43" s="1">
        <v>3</v>
      </c>
      <c r="F43" s="8">
        <v>233</v>
      </c>
      <c r="G43" s="1">
        <v>17.899999999999999</v>
      </c>
      <c r="H43" s="9">
        <v>6.77</v>
      </c>
      <c r="I43" s="1">
        <v>4.84</v>
      </c>
      <c r="J43" s="1">
        <v>26.6</v>
      </c>
    </row>
    <row r="44" spans="1:10">
      <c r="A44" s="5">
        <v>0.66</v>
      </c>
      <c r="B44" s="6">
        <v>6.6000000000000003E-2</v>
      </c>
      <c r="C44" s="7">
        <v>6.91</v>
      </c>
      <c r="D44" s="6">
        <v>0.44800000000000001</v>
      </c>
      <c r="E44" s="1">
        <v>3</v>
      </c>
      <c r="F44" s="8">
        <v>233</v>
      </c>
      <c r="G44" s="1">
        <v>17.899999999999999</v>
      </c>
      <c r="H44" s="9">
        <v>6.1689999999999996</v>
      </c>
      <c r="I44" s="1">
        <v>5.81</v>
      </c>
      <c r="J44" s="1">
        <v>25.3</v>
      </c>
    </row>
    <row r="45" spans="1:10">
      <c r="A45" s="5">
        <v>3.73</v>
      </c>
      <c r="B45" s="6">
        <v>6.5000000000000002E-2</v>
      </c>
      <c r="C45" s="7">
        <v>6.91</v>
      </c>
      <c r="D45" s="6">
        <v>0.44800000000000001</v>
      </c>
      <c r="E45" s="1">
        <v>3</v>
      </c>
      <c r="F45" s="8">
        <v>233</v>
      </c>
      <c r="G45" s="1">
        <v>17.899999999999999</v>
      </c>
      <c r="H45" s="9">
        <v>6.2110000000000003</v>
      </c>
      <c r="I45" s="1">
        <v>7.44</v>
      </c>
      <c r="J45" s="1">
        <v>24.7</v>
      </c>
    </row>
    <row r="46" spans="1:10">
      <c r="A46" s="5">
        <v>4.63</v>
      </c>
      <c r="B46" s="6">
        <v>0.4</v>
      </c>
      <c r="C46" s="7">
        <v>6.91</v>
      </c>
      <c r="D46" s="6">
        <v>0.44800000000000001</v>
      </c>
      <c r="E46" s="1">
        <v>3</v>
      </c>
      <c r="F46" s="8">
        <v>233</v>
      </c>
      <c r="G46" s="1">
        <v>17.899999999999999</v>
      </c>
      <c r="H46" s="9">
        <v>6.069</v>
      </c>
      <c r="I46" s="1">
        <v>9.5500000000000007</v>
      </c>
      <c r="J46" s="1">
        <v>21.2</v>
      </c>
    </row>
    <row r="47" spans="1:10">
      <c r="A47" s="5">
        <v>8.41</v>
      </c>
      <c r="B47" s="6">
        <v>0.33799999999999997</v>
      </c>
      <c r="C47" s="7">
        <v>6.91</v>
      </c>
      <c r="D47" s="6">
        <v>0.44800000000000001</v>
      </c>
      <c r="E47" s="1">
        <v>3</v>
      </c>
      <c r="F47" s="8">
        <v>233</v>
      </c>
      <c r="G47" s="1">
        <v>17.899999999999999</v>
      </c>
      <c r="H47" s="9">
        <v>5.6820000000000004</v>
      </c>
      <c r="I47" s="1">
        <v>10.210000000000001</v>
      </c>
      <c r="J47" s="1">
        <v>19.3</v>
      </c>
    </row>
    <row r="48" spans="1:10">
      <c r="A48" s="5">
        <v>5.66</v>
      </c>
      <c r="B48" s="6">
        <v>0.33299999999999996</v>
      </c>
      <c r="C48" s="7">
        <v>6.91</v>
      </c>
      <c r="D48" s="6">
        <v>0.44800000000000001</v>
      </c>
      <c r="E48" s="1">
        <v>3</v>
      </c>
      <c r="F48" s="8">
        <v>233</v>
      </c>
      <c r="G48" s="1">
        <v>17.899999999999999</v>
      </c>
      <c r="H48" s="9">
        <v>5.7859999999999996</v>
      </c>
      <c r="I48" s="1">
        <v>14.15</v>
      </c>
      <c r="J48" s="1">
        <v>20</v>
      </c>
    </row>
    <row r="49" spans="1:10">
      <c r="A49" s="5">
        <v>1.43</v>
      </c>
      <c r="B49" s="6">
        <v>0.85499999999999998</v>
      </c>
      <c r="C49" s="7">
        <v>6.91</v>
      </c>
      <c r="D49" s="6">
        <v>0.44800000000000001</v>
      </c>
      <c r="E49" s="1">
        <v>3</v>
      </c>
      <c r="F49" s="8">
        <v>233</v>
      </c>
      <c r="G49" s="1">
        <v>17.899999999999999</v>
      </c>
      <c r="H49" s="9">
        <v>6.03</v>
      </c>
      <c r="I49" s="1">
        <v>18.8</v>
      </c>
      <c r="J49" s="1">
        <v>16.600000000000001</v>
      </c>
    </row>
    <row r="50" spans="1:10">
      <c r="A50" s="5">
        <v>8.3000000000000007</v>
      </c>
      <c r="B50" s="6">
        <v>0.95299999999999996</v>
      </c>
      <c r="C50" s="7">
        <v>6.91</v>
      </c>
      <c r="D50" s="6">
        <v>0.44800000000000001</v>
      </c>
      <c r="E50" s="1">
        <v>3</v>
      </c>
      <c r="F50" s="8">
        <v>233</v>
      </c>
      <c r="G50" s="1">
        <v>17.899999999999999</v>
      </c>
      <c r="H50" s="9">
        <v>5.399</v>
      </c>
      <c r="I50" s="1">
        <v>30.81</v>
      </c>
      <c r="J50" s="1">
        <v>14.4</v>
      </c>
    </row>
    <row r="51" spans="1:10">
      <c r="A51" s="5">
        <v>8.24</v>
      </c>
      <c r="B51" s="6">
        <v>0.62</v>
      </c>
      <c r="C51" s="7">
        <v>6.91</v>
      </c>
      <c r="D51" s="6">
        <v>0.44800000000000001</v>
      </c>
      <c r="E51" s="1">
        <v>3</v>
      </c>
      <c r="F51" s="8">
        <v>233</v>
      </c>
      <c r="G51" s="1">
        <v>17.899999999999999</v>
      </c>
      <c r="H51" s="9">
        <v>5.6020000000000003</v>
      </c>
      <c r="I51" s="1">
        <v>16.2</v>
      </c>
      <c r="J51" s="1">
        <v>19.399999999999999</v>
      </c>
    </row>
    <row r="52" spans="1:10">
      <c r="A52" s="5">
        <v>0.63</v>
      </c>
      <c r="B52" s="6">
        <v>0.45700000000000002</v>
      </c>
      <c r="C52" s="7">
        <v>5.64</v>
      </c>
      <c r="D52" s="6">
        <v>0.439</v>
      </c>
      <c r="E52" s="1">
        <v>4</v>
      </c>
      <c r="F52" s="8">
        <v>243</v>
      </c>
      <c r="G52" s="1">
        <v>16.8</v>
      </c>
      <c r="H52" s="9">
        <v>5.9630000000000001</v>
      </c>
      <c r="I52" s="1">
        <v>13.45</v>
      </c>
      <c r="J52" s="1">
        <v>19.7</v>
      </c>
    </row>
    <row r="53" spans="1:10">
      <c r="A53" s="5">
        <v>2.69</v>
      </c>
      <c r="B53" s="6">
        <v>0.63</v>
      </c>
      <c r="C53" s="7">
        <v>5.64</v>
      </c>
      <c r="D53" s="6">
        <v>0.439</v>
      </c>
      <c r="E53" s="1">
        <v>4</v>
      </c>
      <c r="F53" s="8">
        <v>243</v>
      </c>
      <c r="G53" s="1">
        <v>16.8</v>
      </c>
      <c r="H53" s="9">
        <v>6.1150000000000002</v>
      </c>
      <c r="I53" s="1">
        <v>9.43</v>
      </c>
      <c r="J53" s="1">
        <v>20.5</v>
      </c>
    </row>
    <row r="54" spans="1:10">
      <c r="A54" s="5">
        <v>0.42</v>
      </c>
      <c r="B54" s="6">
        <v>0.21100000000000002</v>
      </c>
      <c r="C54" s="7">
        <v>5.64</v>
      </c>
      <c r="D54" s="6">
        <v>0.439</v>
      </c>
      <c r="E54" s="1">
        <v>4</v>
      </c>
      <c r="F54" s="8">
        <v>243</v>
      </c>
      <c r="G54" s="1">
        <v>16.8</v>
      </c>
      <c r="H54" s="9">
        <v>6.5110000000000001</v>
      </c>
      <c r="I54" s="1">
        <v>5.28</v>
      </c>
      <c r="J54" s="1">
        <v>25</v>
      </c>
    </row>
    <row r="55" spans="1:10">
      <c r="A55" s="5">
        <v>5.84</v>
      </c>
      <c r="B55" s="6">
        <v>0.214</v>
      </c>
      <c r="C55" s="7">
        <v>5.64</v>
      </c>
      <c r="D55" s="6">
        <v>0.439</v>
      </c>
      <c r="E55" s="1">
        <v>4</v>
      </c>
      <c r="F55" s="8">
        <v>243</v>
      </c>
      <c r="G55" s="1">
        <v>16.8</v>
      </c>
      <c r="H55" s="9">
        <v>5.9980000000000002</v>
      </c>
      <c r="I55" s="1">
        <v>8.43</v>
      </c>
      <c r="J55" s="1">
        <v>23.4</v>
      </c>
    </row>
    <row r="56" spans="1:10">
      <c r="A56" s="5">
        <v>1.51</v>
      </c>
      <c r="B56" s="6">
        <v>0.47600000000000003</v>
      </c>
      <c r="C56" s="7">
        <v>4</v>
      </c>
      <c r="D56" s="6">
        <v>0.41</v>
      </c>
      <c r="E56" s="1">
        <v>3</v>
      </c>
      <c r="F56" s="8">
        <v>469</v>
      </c>
      <c r="G56" s="1">
        <v>21.1</v>
      </c>
      <c r="H56" s="9">
        <v>5.8879999999999999</v>
      </c>
      <c r="I56" s="1">
        <v>14.8</v>
      </c>
      <c r="J56" s="1">
        <v>18.899999999999999</v>
      </c>
    </row>
    <row r="57" spans="1:10">
      <c r="A57" s="5">
        <v>5.03</v>
      </c>
      <c r="B57" s="6">
        <v>0.219</v>
      </c>
      <c r="C57" s="7">
        <v>1.22</v>
      </c>
      <c r="D57" s="6">
        <v>0.40300000000000002</v>
      </c>
      <c r="E57" s="1">
        <v>5</v>
      </c>
      <c r="F57" s="8">
        <v>226</v>
      </c>
      <c r="G57" s="1">
        <v>17.899999999999999</v>
      </c>
      <c r="H57" s="9">
        <v>7.2489999999999997</v>
      </c>
      <c r="I57" s="1">
        <v>4.8099999999999996</v>
      </c>
      <c r="J57" s="1">
        <v>35.4</v>
      </c>
    </row>
    <row r="58" spans="1:10">
      <c r="A58" s="5">
        <v>7.17</v>
      </c>
      <c r="B58" s="6">
        <v>0.35700000000000004</v>
      </c>
      <c r="C58" s="7">
        <v>0.74</v>
      </c>
      <c r="D58" s="6">
        <v>0.41</v>
      </c>
      <c r="E58" s="1">
        <v>2</v>
      </c>
      <c r="F58" s="8">
        <v>313</v>
      </c>
      <c r="G58" s="1">
        <v>17.3</v>
      </c>
      <c r="H58" s="9">
        <v>6.383</v>
      </c>
      <c r="I58" s="1">
        <v>5.77</v>
      </c>
      <c r="J58" s="1">
        <v>24.7</v>
      </c>
    </row>
    <row r="59" spans="1:10">
      <c r="A59" s="5">
        <v>3.6</v>
      </c>
      <c r="B59" s="6">
        <v>0.40500000000000003</v>
      </c>
      <c r="C59" s="7">
        <v>1.32</v>
      </c>
      <c r="D59" s="6">
        <v>0.41099999999999998</v>
      </c>
      <c r="E59" s="1">
        <v>5</v>
      </c>
      <c r="F59" s="8">
        <v>256</v>
      </c>
      <c r="G59" s="1">
        <v>15.1</v>
      </c>
      <c r="H59" s="9">
        <v>6.8159999999999998</v>
      </c>
      <c r="I59" s="1">
        <v>3.95</v>
      </c>
      <c r="J59" s="1">
        <v>31.6</v>
      </c>
    </row>
    <row r="60" spans="1:10">
      <c r="A60" s="5">
        <v>3.01</v>
      </c>
      <c r="B60" s="6">
        <v>0.29199999999999998</v>
      </c>
      <c r="C60" s="7">
        <v>5.13</v>
      </c>
      <c r="D60" s="6">
        <v>0.45300000000000001</v>
      </c>
      <c r="E60" s="1">
        <v>8</v>
      </c>
      <c r="F60" s="8">
        <v>284</v>
      </c>
      <c r="G60" s="1">
        <v>19.7</v>
      </c>
      <c r="H60" s="9">
        <v>6.1449999999999996</v>
      </c>
      <c r="I60" s="1">
        <v>6.86</v>
      </c>
      <c r="J60" s="1">
        <v>23.3</v>
      </c>
    </row>
    <row r="61" spans="1:10">
      <c r="A61" s="5">
        <v>0.73</v>
      </c>
      <c r="B61" s="6">
        <v>0.47200000000000003</v>
      </c>
      <c r="C61" s="7">
        <v>5.13</v>
      </c>
      <c r="D61" s="6">
        <v>0.45300000000000001</v>
      </c>
      <c r="E61" s="1">
        <v>8</v>
      </c>
      <c r="F61" s="8">
        <v>284</v>
      </c>
      <c r="G61" s="1">
        <v>19.7</v>
      </c>
      <c r="H61" s="9">
        <v>5.9269999999999996</v>
      </c>
      <c r="I61" s="1">
        <v>9.2200000000000006</v>
      </c>
      <c r="J61" s="1">
        <v>19.600000000000001</v>
      </c>
    </row>
    <row r="62" spans="1:10">
      <c r="A62" s="5">
        <v>3.3</v>
      </c>
      <c r="B62" s="6">
        <v>0.66200000000000003</v>
      </c>
      <c r="C62" s="7">
        <v>5.13</v>
      </c>
      <c r="D62" s="6">
        <v>0.45300000000000001</v>
      </c>
      <c r="E62" s="1">
        <v>8</v>
      </c>
      <c r="F62" s="8">
        <v>284</v>
      </c>
      <c r="G62" s="1">
        <v>19.7</v>
      </c>
      <c r="H62" s="9">
        <v>5.7409999999999997</v>
      </c>
      <c r="I62" s="1">
        <v>13.15</v>
      </c>
      <c r="J62" s="1">
        <v>18.7</v>
      </c>
    </row>
    <row r="63" spans="1:10">
      <c r="A63" s="5">
        <v>1.97</v>
      </c>
      <c r="B63" s="6">
        <v>0.93400000000000005</v>
      </c>
      <c r="C63" s="7">
        <v>5.13</v>
      </c>
      <c r="D63" s="6">
        <v>0.45300000000000001</v>
      </c>
      <c r="E63" s="1">
        <v>8</v>
      </c>
      <c r="F63" s="8">
        <v>284</v>
      </c>
      <c r="G63" s="1">
        <v>19.7</v>
      </c>
      <c r="H63" s="9">
        <v>5.9660000000000002</v>
      </c>
      <c r="I63" s="1">
        <v>14.44</v>
      </c>
      <c r="J63" s="1">
        <v>16</v>
      </c>
    </row>
    <row r="64" spans="1:10">
      <c r="A64" s="5">
        <v>9.65</v>
      </c>
      <c r="B64" s="6">
        <v>0.67799999999999994</v>
      </c>
      <c r="C64" s="7">
        <v>5.13</v>
      </c>
      <c r="D64" s="6">
        <v>0.45300000000000001</v>
      </c>
      <c r="E64" s="1">
        <v>8</v>
      </c>
      <c r="F64" s="8">
        <v>284</v>
      </c>
      <c r="G64" s="1">
        <v>19.7</v>
      </c>
      <c r="H64" s="9">
        <v>6.4560000000000004</v>
      </c>
      <c r="I64" s="1">
        <v>6.73</v>
      </c>
      <c r="J64" s="1">
        <v>22.2</v>
      </c>
    </row>
    <row r="65" spans="1:10">
      <c r="A65" s="5">
        <v>0.43</v>
      </c>
      <c r="B65" s="6">
        <v>0.434</v>
      </c>
      <c r="C65" s="7">
        <v>5.13</v>
      </c>
      <c r="D65" s="6">
        <v>0.45300000000000001</v>
      </c>
      <c r="E65" s="1">
        <v>8</v>
      </c>
      <c r="F65" s="8">
        <v>284</v>
      </c>
      <c r="G65" s="1">
        <v>19.7</v>
      </c>
      <c r="H65" s="9">
        <v>6.7619999999999996</v>
      </c>
      <c r="I65" s="1">
        <v>9.5</v>
      </c>
      <c r="J65" s="1">
        <v>25</v>
      </c>
    </row>
    <row r="66" spans="1:10">
      <c r="A66" s="5">
        <v>1.97</v>
      </c>
      <c r="B66" s="6">
        <v>0.59499999999999997</v>
      </c>
      <c r="C66" s="7">
        <v>1.38</v>
      </c>
      <c r="D66" s="6">
        <v>0.41610000000000003</v>
      </c>
      <c r="E66" s="1">
        <v>3</v>
      </c>
      <c r="F66" s="8">
        <v>216</v>
      </c>
      <c r="G66" s="1">
        <v>18.600000000000001</v>
      </c>
      <c r="H66" s="9">
        <v>7.1040000000000001</v>
      </c>
      <c r="I66" s="1">
        <v>8.0500000000000007</v>
      </c>
      <c r="J66" s="1">
        <v>33</v>
      </c>
    </row>
    <row r="67" spans="1:10">
      <c r="A67" s="5">
        <v>7.65</v>
      </c>
      <c r="B67" s="6">
        <v>0.17800000000000002</v>
      </c>
      <c r="C67" s="7">
        <v>3.37</v>
      </c>
      <c r="D67" s="6">
        <v>0.39800000000000002</v>
      </c>
      <c r="E67" s="1">
        <v>4</v>
      </c>
      <c r="F67" s="8">
        <v>337</v>
      </c>
      <c r="G67" s="1">
        <v>16.100000000000001</v>
      </c>
      <c r="H67" s="9">
        <v>6.29</v>
      </c>
      <c r="I67" s="1">
        <v>4.67</v>
      </c>
      <c r="J67" s="1">
        <v>23.5</v>
      </c>
    </row>
    <row r="68" spans="1:10">
      <c r="A68" s="5">
        <v>7.48</v>
      </c>
      <c r="B68" s="6">
        <v>0.311</v>
      </c>
      <c r="C68" s="7">
        <v>3.37</v>
      </c>
      <c r="D68" s="6">
        <v>0.39800000000000002</v>
      </c>
      <c r="E68" s="1">
        <v>4</v>
      </c>
      <c r="F68" s="8">
        <v>337</v>
      </c>
      <c r="G68" s="1">
        <v>16.100000000000001</v>
      </c>
      <c r="H68" s="9">
        <v>5.7869999999999999</v>
      </c>
      <c r="I68" s="1">
        <v>10.24</v>
      </c>
      <c r="J68" s="1">
        <v>19.399999999999999</v>
      </c>
    </row>
    <row r="69" spans="1:10">
      <c r="A69" s="5">
        <v>5.7</v>
      </c>
      <c r="B69" s="6">
        <v>0.214</v>
      </c>
      <c r="C69" s="7">
        <v>6.07</v>
      </c>
      <c r="D69" s="6">
        <v>0.40899999999999997</v>
      </c>
      <c r="E69" s="1">
        <v>4</v>
      </c>
      <c r="F69" s="8">
        <v>345</v>
      </c>
      <c r="G69" s="1">
        <v>18.899999999999999</v>
      </c>
      <c r="H69" s="9">
        <v>5.8780000000000001</v>
      </c>
      <c r="I69" s="1">
        <v>8.1</v>
      </c>
      <c r="J69" s="1">
        <v>22</v>
      </c>
    </row>
    <row r="70" spans="1:10">
      <c r="A70" s="5">
        <v>5.94</v>
      </c>
      <c r="B70" s="6">
        <v>0.36799999999999999</v>
      </c>
      <c r="C70" s="7">
        <v>6.07</v>
      </c>
      <c r="D70" s="6">
        <v>0.40899999999999997</v>
      </c>
      <c r="E70" s="1">
        <v>4</v>
      </c>
      <c r="F70" s="8">
        <v>345</v>
      </c>
      <c r="G70" s="1">
        <v>18.899999999999999</v>
      </c>
      <c r="H70" s="9">
        <v>5.5940000000000003</v>
      </c>
      <c r="I70" s="1">
        <v>13.09</v>
      </c>
      <c r="J70" s="1">
        <v>17.399999999999999</v>
      </c>
    </row>
    <row r="71" spans="1:10">
      <c r="A71" s="5">
        <v>3.96</v>
      </c>
      <c r="B71" s="6">
        <v>0.33</v>
      </c>
      <c r="C71" s="7">
        <v>6.07</v>
      </c>
      <c r="D71" s="6">
        <v>0.40899999999999997</v>
      </c>
      <c r="E71" s="1">
        <v>4</v>
      </c>
      <c r="F71" s="8">
        <v>345</v>
      </c>
      <c r="G71" s="1">
        <v>18.899999999999999</v>
      </c>
      <c r="H71" s="9">
        <v>5.8849999999999998</v>
      </c>
      <c r="I71" s="1">
        <v>8.7899999999999991</v>
      </c>
      <c r="J71" s="1">
        <v>20.9</v>
      </c>
    </row>
    <row r="72" spans="1:10">
      <c r="A72" s="5">
        <v>4.8600000000000003</v>
      </c>
      <c r="B72" s="6">
        <v>6.6000000000000003E-2</v>
      </c>
      <c r="C72" s="7">
        <v>10.81</v>
      </c>
      <c r="D72" s="6">
        <v>0.41299999999999998</v>
      </c>
      <c r="E72" s="1">
        <v>4</v>
      </c>
      <c r="F72" s="8">
        <v>305</v>
      </c>
      <c r="G72" s="1">
        <v>19.2</v>
      </c>
      <c r="H72" s="9">
        <v>6.4169999999999998</v>
      </c>
      <c r="I72" s="1">
        <v>6.72</v>
      </c>
      <c r="J72" s="1">
        <v>24.2</v>
      </c>
    </row>
    <row r="73" spans="1:10">
      <c r="A73" s="5">
        <v>0.63</v>
      </c>
      <c r="B73" s="6">
        <v>0.17500000000000002</v>
      </c>
      <c r="C73" s="7">
        <v>10.81</v>
      </c>
      <c r="D73" s="6">
        <v>0.41299999999999998</v>
      </c>
      <c r="E73" s="1">
        <v>4</v>
      </c>
      <c r="F73" s="8">
        <v>305</v>
      </c>
      <c r="G73" s="1">
        <v>19.2</v>
      </c>
      <c r="H73" s="9">
        <v>5.9610000000000003</v>
      </c>
      <c r="I73" s="1">
        <v>9.8800000000000008</v>
      </c>
      <c r="J73" s="1">
        <v>21.7</v>
      </c>
    </row>
    <row r="74" spans="1:10">
      <c r="A74" s="5">
        <v>1.0900000000000001</v>
      </c>
      <c r="B74" s="6">
        <v>7.8E-2</v>
      </c>
      <c r="C74" s="7">
        <v>10.81</v>
      </c>
      <c r="D74" s="6">
        <v>0.41299999999999998</v>
      </c>
      <c r="E74" s="1">
        <v>4</v>
      </c>
      <c r="F74" s="8">
        <v>305</v>
      </c>
      <c r="G74" s="1">
        <v>19.2</v>
      </c>
      <c r="H74" s="9">
        <v>6.0650000000000004</v>
      </c>
      <c r="I74" s="1">
        <v>5.52</v>
      </c>
      <c r="J74" s="1">
        <v>22.8</v>
      </c>
    </row>
    <row r="75" spans="1:10">
      <c r="A75" s="5">
        <v>3.28</v>
      </c>
      <c r="B75" s="6">
        <v>6.2000000000000006E-2</v>
      </c>
      <c r="C75" s="7">
        <v>10.81</v>
      </c>
      <c r="D75" s="6">
        <v>0.41299999999999998</v>
      </c>
      <c r="E75" s="1">
        <v>4</v>
      </c>
      <c r="F75" s="8">
        <v>305</v>
      </c>
      <c r="G75" s="1">
        <v>19.2</v>
      </c>
      <c r="H75" s="9">
        <v>6.2450000000000001</v>
      </c>
      <c r="I75" s="1">
        <v>7.54</v>
      </c>
      <c r="J75" s="1">
        <v>23.4</v>
      </c>
    </row>
    <row r="76" spans="1:10">
      <c r="A76" s="5">
        <v>6.44</v>
      </c>
      <c r="B76" s="6">
        <v>0.06</v>
      </c>
      <c r="C76" s="7">
        <v>12.83</v>
      </c>
      <c r="D76" s="6">
        <v>0.437</v>
      </c>
      <c r="E76" s="1">
        <v>5</v>
      </c>
      <c r="F76" s="8">
        <v>398</v>
      </c>
      <c r="G76" s="1">
        <v>18.7</v>
      </c>
      <c r="H76" s="9">
        <v>6.2729999999999997</v>
      </c>
      <c r="I76" s="1">
        <v>6.78</v>
      </c>
      <c r="J76" s="1">
        <v>24.1</v>
      </c>
    </row>
    <row r="77" spans="1:10">
      <c r="A77" s="5">
        <v>8.23</v>
      </c>
      <c r="B77" s="6">
        <v>0.45</v>
      </c>
      <c r="C77" s="7">
        <v>12.83</v>
      </c>
      <c r="D77" s="6">
        <v>0.437</v>
      </c>
      <c r="E77" s="1">
        <v>5</v>
      </c>
      <c r="F77" s="8">
        <v>398</v>
      </c>
      <c r="G77" s="1">
        <v>18.7</v>
      </c>
      <c r="H77" s="9">
        <v>6.2859999999999996</v>
      </c>
      <c r="I77" s="1">
        <v>8.94</v>
      </c>
      <c r="J77" s="1">
        <v>21.4</v>
      </c>
    </row>
    <row r="78" spans="1:10">
      <c r="A78" s="5">
        <v>2.99</v>
      </c>
      <c r="B78" s="6">
        <v>0.745</v>
      </c>
      <c r="C78" s="7">
        <v>12.83</v>
      </c>
      <c r="D78" s="6">
        <v>0.437</v>
      </c>
      <c r="E78" s="1">
        <v>5</v>
      </c>
      <c r="F78" s="8">
        <v>398</v>
      </c>
      <c r="G78" s="1">
        <v>18.7</v>
      </c>
      <c r="H78" s="9">
        <v>6.2789999999999999</v>
      </c>
      <c r="I78" s="1">
        <v>11.97</v>
      </c>
      <c r="J78" s="1">
        <v>20</v>
      </c>
    </row>
    <row r="79" spans="1:10">
      <c r="A79" s="5">
        <v>7.67</v>
      </c>
      <c r="B79" s="6">
        <v>0.45799999999999996</v>
      </c>
      <c r="C79" s="7">
        <v>12.83</v>
      </c>
      <c r="D79" s="6">
        <v>0.437</v>
      </c>
      <c r="E79" s="1">
        <v>5</v>
      </c>
      <c r="F79" s="8">
        <v>398</v>
      </c>
      <c r="G79" s="1">
        <v>18.7</v>
      </c>
      <c r="H79" s="9">
        <v>6.14</v>
      </c>
      <c r="I79" s="1">
        <v>10.27</v>
      </c>
      <c r="J79" s="1">
        <v>20.8</v>
      </c>
    </row>
    <row r="80" spans="1:10">
      <c r="A80" s="5">
        <v>7.9</v>
      </c>
      <c r="B80" s="6">
        <v>0.53700000000000003</v>
      </c>
      <c r="C80" s="7">
        <v>12.83</v>
      </c>
      <c r="D80" s="6">
        <v>0.437</v>
      </c>
      <c r="E80" s="1">
        <v>5</v>
      </c>
      <c r="F80" s="8">
        <v>398</v>
      </c>
      <c r="G80" s="1">
        <v>18.7</v>
      </c>
      <c r="H80" s="9">
        <v>6.2320000000000002</v>
      </c>
      <c r="I80" s="1">
        <v>12.34</v>
      </c>
      <c r="J80" s="1">
        <v>21.2</v>
      </c>
    </row>
    <row r="81" spans="1:10">
      <c r="A81" s="5">
        <v>3.84</v>
      </c>
      <c r="B81" s="6">
        <v>0.36600000000000005</v>
      </c>
      <c r="C81" s="7">
        <v>12.83</v>
      </c>
      <c r="D81" s="6">
        <v>0.437</v>
      </c>
      <c r="E81" s="1">
        <v>5</v>
      </c>
      <c r="F81" s="8">
        <v>398</v>
      </c>
      <c r="G81" s="1">
        <v>18.7</v>
      </c>
      <c r="H81" s="9">
        <v>5.8739999999999997</v>
      </c>
      <c r="I81" s="1">
        <v>9.1</v>
      </c>
      <c r="J81" s="1">
        <v>20.3</v>
      </c>
    </row>
    <row r="82" spans="1:10">
      <c r="A82" s="5">
        <v>9.23</v>
      </c>
      <c r="B82" s="6">
        <v>0.33500000000000002</v>
      </c>
      <c r="C82" s="7">
        <v>4.8600000000000003</v>
      </c>
      <c r="D82" s="6">
        <v>0.42599999999999999</v>
      </c>
      <c r="E82" s="1">
        <v>4</v>
      </c>
      <c r="F82" s="8">
        <v>281</v>
      </c>
      <c r="G82" s="1">
        <v>19</v>
      </c>
      <c r="H82" s="9">
        <v>6.7270000000000003</v>
      </c>
      <c r="I82" s="1">
        <v>5.29</v>
      </c>
      <c r="J82" s="1">
        <v>28</v>
      </c>
    </row>
    <row r="83" spans="1:10">
      <c r="A83" s="5">
        <v>1.05</v>
      </c>
      <c r="B83" s="6">
        <v>0.70400000000000007</v>
      </c>
      <c r="C83" s="7">
        <v>4.8600000000000003</v>
      </c>
      <c r="D83" s="6">
        <v>0.42599999999999999</v>
      </c>
      <c r="E83" s="1">
        <v>4</v>
      </c>
      <c r="F83" s="8">
        <v>281</v>
      </c>
      <c r="G83" s="1">
        <v>19</v>
      </c>
      <c r="H83" s="9">
        <v>6.6189999999999998</v>
      </c>
      <c r="I83" s="1">
        <v>7.22</v>
      </c>
      <c r="J83" s="1">
        <v>23.9</v>
      </c>
    </row>
    <row r="84" spans="1:10">
      <c r="A84" s="5">
        <v>1.96</v>
      </c>
      <c r="B84" s="6">
        <v>0.32200000000000001</v>
      </c>
      <c r="C84" s="7">
        <v>4.8600000000000003</v>
      </c>
      <c r="D84" s="6">
        <v>0.42599999999999999</v>
      </c>
      <c r="E84" s="1">
        <v>4</v>
      </c>
      <c r="F84" s="8">
        <v>281</v>
      </c>
      <c r="G84" s="1">
        <v>19</v>
      </c>
      <c r="H84" s="9">
        <v>6.3019999999999996</v>
      </c>
      <c r="I84" s="1">
        <v>6.72</v>
      </c>
      <c r="J84" s="1">
        <v>24.8</v>
      </c>
    </row>
    <row r="85" spans="1:10">
      <c r="A85" s="5">
        <v>3.43</v>
      </c>
      <c r="B85" s="6">
        <v>0.46700000000000003</v>
      </c>
      <c r="C85" s="7">
        <v>4.8600000000000003</v>
      </c>
      <c r="D85" s="6">
        <v>0.42599999999999999</v>
      </c>
      <c r="E85" s="1">
        <v>4</v>
      </c>
      <c r="F85" s="8">
        <v>281</v>
      </c>
      <c r="G85" s="1">
        <v>19</v>
      </c>
      <c r="H85" s="9">
        <v>6.1669999999999998</v>
      </c>
      <c r="I85" s="1">
        <v>7.51</v>
      </c>
      <c r="J85" s="1">
        <v>22.9</v>
      </c>
    </row>
    <row r="86" spans="1:10">
      <c r="A86" s="5">
        <v>6.36</v>
      </c>
      <c r="B86" s="6">
        <v>0.48</v>
      </c>
      <c r="C86" s="7">
        <v>4.49</v>
      </c>
      <c r="D86" s="6">
        <v>0.44900000000000001</v>
      </c>
      <c r="E86" s="1">
        <v>3</v>
      </c>
      <c r="F86" s="8">
        <v>247</v>
      </c>
      <c r="G86" s="1">
        <v>18.5</v>
      </c>
      <c r="H86" s="9">
        <v>6.3890000000000002</v>
      </c>
      <c r="I86" s="1">
        <v>9.6199999999999992</v>
      </c>
      <c r="J86" s="1">
        <v>23.9</v>
      </c>
    </row>
    <row r="87" spans="1:10">
      <c r="A87" s="5">
        <v>6.55</v>
      </c>
      <c r="B87" s="6">
        <v>0.56100000000000005</v>
      </c>
      <c r="C87" s="7">
        <v>4.49</v>
      </c>
      <c r="D87" s="6">
        <v>0.44900000000000001</v>
      </c>
      <c r="E87" s="1">
        <v>3</v>
      </c>
      <c r="F87" s="8">
        <v>247</v>
      </c>
      <c r="G87" s="1">
        <v>18.5</v>
      </c>
      <c r="H87" s="9">
        <v>6.63</v>
      </c>
      <c r="I87" s="1">
        <v>6.53</v>
      </c>
      <c r="J87" s="1">
        <v>26.6</v>
      </c>
    </row>
    <row r="88" spans="1:10">
      <c r="A88" s="5">
        <v>6.42</v>
      </c>
      <c r="B88" s="6">
        <v>0.45100000000000001</v>
      </c>
      <c r="C88" s="7">
        <v>4.49</v>
      </c>
      <c r="D88" s="6">
        <v>0.44900000000000001</v>
      </c>
      <c r="E88" s="1">
        <v>3</v>
      </c>
      <c r="F88" s="8">
        <v>247</v>
      </c>
      <c r="G88" s="1">
        <v>18.5</v>
      </c>
      <c r="H88" s="9">
        <v>6.0149999999999997</v>
      </c>
      <c r="I88" s="1">
        <v>12.86</v>
      </c>
      <c r="J88" s="1">
        <v>22.5</v>
      </c>
    </row>
    <row r="89" spans="1:10">
      <c r="A89" s="5">
        <v>3.15</v>
      </c>
      <c r="B89" s="6">
        <v>0.56799999999999995</v>
      </c>
      <c r="C89" s="7">
        <v>4.49</v>
      </c>
      <c r="D89" s="6">
        <v>0.44900000000000001</v>
      </c>
      <c r="E89" s="1">
        <v>3</v>
      </c>
      <c r="F89" s="8">
        <v>247</v>
      </c>
      <c r="G89" s="1">
        <v>18.5</v>
      </c>
      <c r="H89" s="9">
        <v>6.1210000000000004</v>
      </c>
      <c r="I89" s="1">
        <v>8.44</v>
      </c>
      <c r="J89" s="1">
        <v>22.2</v>
      </c>
    </row>
    <row r="90" spans="1:10">
      <c r="A90" s="5">
        <v>9.27</v>
      </c>
      <c r="B90" s="6">
        <v>0.86299999999999999</v>
      </c>
      <c r="C90" s="7">
        <v>3.41</v>
      </c>
      <c r="D90" s="6">
        <v>0.48899999999999999</v>
      </c>
      <c r="E90" s="1">
        <v>2</v>
      </c>
      <c r="F90" s="8">
        <v>270</v>
      </c>
      <c r="G90" s="1">
        <v>17.8</v>
      </c>
      <c r="H90" s="9">
        <v>7.0069999999999997</v>
      </c>
      <c r="I90" s="1">
        <v>5.5</v>
      </c>
      <c r="J90" s="1">
        <v>23.6</v>
      </c>
    </row>
    <row r="91" spans="1:10">
      <c r="A91" s="5">
        <v>3.7</v>
      </c>
      <c r="B91" s="6">
        <v>0.63100000000000001</v>
      </c>
      <c r="C91" s="7">
        <v>3.41</v>
      </c>
      <c r="D91" s="6">
        <v>0.48899999999999999</v>
      </c>
      <c r="E91" s="1">
        <v>2</v>
      </c>
      <c r="F91" s="8">
        <v>270</v>
      </c>
      <c r="G91" s="1">
        <v>17.8</v>
      </c>
      <c r="H91" s="9">
        <v>7.0789999999999997</v>
      </c>
      <c r="I91" s="1">
        <v>5.7</v>
      </c>
      <c r="J91" s="1">
        <v>28.7</v>
      </c>
    </row>
    <row r="92" spans="1:10">
      <c r="A92" s="5">
        <v>1.28</v>
      </c>
      <c r="B92" s="6">
        <v>0.66099999999999992</v>
      </c>
      <c r="C92" s="7">
        <v>3.41</v>
      </c>
      <c r="D92" s="6">
        <v>0.48899999999999999</v>
      </c>
      <c r="E92" s="1">
        <v>2</v>
      </c>
      <c r="F92" s="8">
        <v>270</v>
      </c>
      <c r="G92" s="1">
        <v>17.8</v>
      </c>
      <c r="H92" s="9">
        <v>6.4169999999999998</v>
      </c>
      <c r="I92" s="1">
        <v>8.81</v>
      </c>
      <c r="J92" s="1">
        <v>22.6</v>
      </c>
    </row>
    <row r="93" spans="1:10">
      <c r="A93" s="5">
        <v>0.91</v>
      </c>
      <c r="B93" s="6">
        <v>0.7390000000000001</v>
      </c>
      <c r="C93" s="7">
        <v>3.41</v>
      </c>
      <c r="D93" s="6">
        <v>0.48899999999999999</v>
      </c>
      <c r="E93" s="1">
        <v>2</v>
      </c>
      <c r="F93" s="8">
        <v>270</v>
      </c>
      <c r="G93" s="1">
        <v>17.8</v>
      </c>
      <c r="H93" s="9">
        <v>6.4050000000000002</v>
      </c>
      <c r="I93" s="1">
        <v>8.1999999999999993</v>
      </c>
      <c r="J93" s="1">
        <v>22</v>
      </c>
    </row>
    <row r="94" spans="1:10">
      <c r="A94" s="5">
        <v>9.07</v>
      </c>
      <c r="B94" s="6">
        <v>0.53600000000000003</v>
      </c>
      <c r="C94" s="7">
        <v>15.04</v>
      </c>
      <c r="D94" s="6">
        <v>0.46400000000000002</v>
      </c>
      <c r="E94" s="1">
        <v>4</v>
      </c>
      <c r="F94" s="8">
        <v>270</v>
      </c>
      <c r="G94" s="1">
        <v>18.2</v>
      </c>
      <c r="H94" s="9">
        <v>6.4420000000000002</v>
      </c>
      <c r="I94" s="1">
        <v>8.16</v>
      </c>
      <c r="J94" s="1">
        <v>22.9</v>
      </c>
    </row>
    <row r="95" spans="1:10">
      <c r="A95" s="5">
        <v>5.8</v>
      </c>
      <c r="B95" s="6">
        <v>0.28899999999999998</v>
      </c>
      <c r="C95" s="7">
        <v>15.04</v>
      </c>
      <c r="D95" s="6">
        <v>0.46400000000000002</v>
      </c>
      <c r="E95" s="1">
        <v>4</v>
      </c>
      <c r="F95" s="8">
        <v>270</v>
      </c>
      <c r="G95" s="1">
        <v>18.2</v>
      </c>
      <c r="H95" s="9">
        <v>6.2110000000000003</v>
      </c>
      <c r="I95" s="1">
        <v>6.21</v>
      </c>
      <c r="J95" s="1">
        <v>25</v>
      </c>
    </row>
    <row r="96" spans="1:10">
      <c r="A96" s="5">
        <v>2.61</v>
      </c>
      <c r="B96" s="6">
        <v>0.77300000000000002</v>
      </c>
      <c r="C96" s="7">
        <v>15.04</v>
      </c>
      <c r="D96" s="6">
        <v>0.46400000000000002</v>
      </c>
      <c r="E96" s="1">
        <v>4</v>
      </c>
      <c r="F96" s="8">
        <v>270</v>
      </c>
      <c r="G96" s="1">
        <v>18.2</v>
      </c>
      <c r="H96" s="9">
        <v>6.2489999999999997</v>
      </c>
      <c r="I96" s="1">
        <v>10.59</v>
      </c>
      <c r="J96" s="1">
        <v>20.6</v>
      </c>
    </row>
    <row r="97" spans="1:10">
      <c r="A97" s="5">
        <v>7.21</v>
      </c>
      <c r="B97" s="6">
        <v>0.57799999999999996</v>
      </c>
      <c r="C97" s="7">
        <v>2.89</v>
      </c>
      <c r="D97" s="6">
        <v>0.44500000000000001</v>
      </c>
      <c r="E97" s="1">
        <v>2</v>
      </c>
      <c r="F97" s="8">
        <v>276</v>
      </c>
      <c r="G97" s="1">
        <v>18</v>
      </c>
      <c r="H97" s="9">
        <v>6.625</v>
      </c>
      <c r="I97" s="1">
        <v>6.65</v>
      </c>
      <c r="J97" s="1">
        <v>28.4</v>
      </c>
    </row>
    <row r="98" spans="1:10">
      <c r="A98" s="5">
        <v>3.15</v>
      </c>
      <c r="B98" s="6">
        <v>0.69599999999999995</v>
      </c>
      <c r="C98" s="7">
        <v>2.89</v>
      </c>
      <c r="D98" s="6">
        <v>0.44500000000000001</v>
      </c>
      <c r="E98" s="1">
        <v>2</v>
      </c>
      <c r="F98" s="8">
        <v>276</v>
      </c>
      <c r="G98" s="1">
        <v>18</v>
      </c>
      <c r="H98" s="9">
        <v>6.1630000000000003</v>
      </c>
      <c r="I98" s="1">
        <v>11.34</v>
      </c>
      <c r="J98" s="1">
        <v>21.4</v>
      </c>
    </row>
    <row r="99" spans="1:10">
      <c r="A99" s="5">
        <v>8.16</v>
      </c>
      <c r="B99" s="6">
        <v>0.76</v>
      </c>
      <c r="C99" s="7">
        <v>2.89</v>
      </c>
      <c r="D99" s="6">
        <v>0.44500000000000001</v>
      </c>
      <c r="E99" s="1">
        <v>2</v>
      </c>
      <c r="F99" s="8">
        <v>276</v>
      </c>
      <c r="G99" s="1">
        <v>18</v>
      </c>
      <c r="H99" s="9">
        <v>8.0690000000000008</v>
      </c>
      <c r="I99" s="1">
        <v>4.21</v>
      </c>
      <c r="J99" s="1">
        <v>38.700000000000003</v>
      </c>
    </row>
    <row r="100" spans="1:10">
      <c r="A100" s="5">
        <v>5.75</v>
      </c>
      <c r="B100" s="6">
        <v>0.36899999999999999</v>
      </c>
      <c r="C100" s="7">
        <v>2.89</v>
      </c>
      <c r="D100" s="6">
        <v>0.44500000000000001</v>
      </c>
      <c r="E100" s="1">
        <v>2</v>
      </c>
      <c r="F100" s="8">
        <v>276</v>
      </c>
      <c r="G100" s="1">
        <v>18</v>
      </c>
      <c r="H100" s="9">
        <v>7.82</v>
      </c>
      <c r="I100" s="1">
        <v>3.57</v>
      </c>
      <c r="J100" s="1">
        <v>43.8</v>
      </c>
    </row>
    <row r="101" spans="1:10">
      <c r="A101" s="5">
        <v>4.46</v>
      </c>
      <c r="B101" s="6">
        <v>0.625</v>
      </c>
      <c r="C101" s="7">
        <v>2.89</v>
      </c>
      <c r="D101" s="6">
        <v>0.44500000000000001</v>
      </c>
      <c r="E101" s="1">
        <v>2</v>
      </c>
      <c r="F101" s="8">
        <v>276</v>
      </c>
      <c r="G101" s="1">
        <v>18</v>
      </c>
      <c r="H101" s="9">
        <v>7.4160000000000004</v>
      </c>
      <c r="I101" s="1">
        <v>6.19</v>
      </c>
      <c r="J101" s="1">
        <v>33.200000000000003</v>
      </c>
    </row>
    <row r="102" spans="1:10">
      <c r="A102" s="5">
        <v>6.3</v>
      </c>
      <c r="B102" s="6">
        <v>0.79900000000000004</v>
      </c>
      <c r="C102" s="7">
        <v>8.56</v>
      </c>
      <c r="D102" s="6">
        <v>0.52</v>
      </c>
      <c r="E102" s="1">
        <v>5</v>
      </c>
      <c r="F102" s="8">
        <v>384</v>
      </c>
      <c r="G102" s="1">
        <v>20.9</v>
      </c>
      <c r="H102" s="9">
        <v>6.7270000000000003</v>
      </c>
      <c r="I102" s="1">
        <v>9.42</v>
      </c>
      <c r="J102" s="1">
        <v>27.5</v>
      </c>
    </row>
    <row r="103" spans="1:10">
      <c r="A103" s="5">
        <v>7.71</v>
      </c>
      <c r="B103" s="6">
        <v>0.71299999999999997</v>
      </c>
      <c r="C103" s="7">
        <v>8.56</v>
      </c>
      <c r="D103" s="6">
        <v>0.52</v>
      </c>
      <c r="E103" s="1">
        <v>5</v>
      </c>
      <c r="F103" s="8">
        <v>384</v>
      </c>
      <c r="G103" s="1">
        <v>20.9</v>
      </c>
      <c r="H103" s="9">
        <v>6.7809999999999997</v>
      </c>
      <c r="I103" s="1">
        <v>7.67</v>
      </c>
      <c r="J103" s="1">
        <v>26.5</v>
      </c>
    </row>
    <row r="104" spans="1:10">
      <c r="A104" s="5">
        <v>8.93</v>
      </c>
      <c r="B104" s="6">
        <v>0.85400000000000009</v>
      </c>
      <c r="C104" s="7">
        <v>8.56</v>
      </c>
      <c r="D104" s="6">
        <v>0.52</v>
      </c>
      <c r="E104" s="1">
        <v>5</v>
      </c>
      <c r="F104" s="8">
        <v>384</v>
      </c>
      <c r="G104" s="1">
        <v>20.9</v>
      </c>
      <c r="H104" s="9">
        <v>6.4050000000000002</v>
      </c>
      <c r="I104" s="1">
        <v>10.63</v>
      </c>
      <c r="J104" s="1">
        <v>18.600000000000001</v>
      </c>
    </row>
    <row r="105" spans="1:10">
      <c r="A105" s="5">
        <v>9.7100000000000009</v>
      </c>
      <c r="B105" s="6">
        <v>0.87400000000000011</v>
      </c>
      <c r="C105" s="7">
        <v>8.56</v>
      </c>
      <c r="D105" s="6">
        <v>0.52</v>
      </c>
      <c r="E105" s="1">
        <v>5</v>
      </c>
      <c r="F105" s="8">
        <v>384</v>
      </c>
      <c r="G105" s="1">
        <v>20.9</v>
      </c>
      <c r="H105" s="9">
        <v>6.1369999999999996</v>
      </c>
      <c r="I105" s="1">
        <v>13.44</v>
      </c>
      <c r="J105" s="1">
        <v>19.3</v>
      </c>
    </row>
    <row r="106" spans="1:10">
      <c r="A106" s="5">
        <v>8.9</v>
      </c>
      <c r="B106" s="6">
        <v>0.9</v>
      </c>
      <c r="C106" s="7">
        <v>8.56</v>
      </c>
      <c r="D106" s="6">
        <v>0.52</v>
      </c>
      <c r="E106" s="1">
        <v>5</v>
      </c>
      <c r="F106" s="8">
        <v>384</v>
      </c>
      <c r="G106" s="1">
        <v>20.9</v>
      </c>
      <c r="H106" s="9">
        <v>6.1669999999999998</v>
      </c>
      <c r="I106" s="1">
        <v>12.33</v>
      </c>
      <c r="J106" s="1">
        <v>20.100000000000001</v>
      </c>
    </row>
    <row r="107" spans="1:10">
      <c r="A107" s="5">
        <v>3.77</v>
      </c>
      <c r="B107" s="6">
        <v>0.96700000000000008</v>
      </c>
      <c r="C107" s="7">
        <v>8.56</v>
      </c>
      <c r="D107" s="6">
        <v>0.52</v>
      </c>
      <c r="E107" s="1">
        <v>5</v>
      </c>
      <c r="F107" s="8">
        <v>384</v>
      </c>
      <c r="G107" s="1">
        <v>20.9</v>
      </c>
      <c r="H107" s="9">
        <v>5.851</v>
      </c>
      <c r="I107" s="1">
        <v>16.47</v>
      </c>
      <c r="J107" s="1">
        <v>19.5</v>
      </c>
    </row>
    <row r="108" spans="1:10">
      <c r="A108" s="5">
        <v>3.63</v>
      </c>
      <c r="B108" s="6">
        <v>0.91900000000000004</v>
      </c>
      <c r="C108" s="7">
        <v>8.56</v>
      </c>
      <c r="D108" s="6">
        <v>0.52</v>
      </c>
      <c r="E108" s="1">
        <v>5</v>
      </c>
      <c r="F108" s="8">
        <v>384</v>
      </c>
      <c r="G108" s="1">
        <v>20.9</v>
      </c>
      <c r="H108" s="9">
        <v>5.8360000000000003</v>
      </c>
      <c r="I108" s="1">
        <v>18.66</v>
      </c>
      <c r="J108" s="1">
        <v>19.5</v>
      </c>
    </row>
    <row r="109" spans="1:10">
      <c r="A109" s="5">
        <v>0.14000000000000001</v>
      </c>
      <c r="B109" s="6">
        <v>0.85200000000000009</v>
      </c>
      <c r="C109" s="7">
        <v>8.56</v>
      </c>
      <c r="D109" s="6">
        <v>0.52</v>
      </c>
      <c r="E109" s="1">
        <v>5</v>
      </c>
      <c r="F109" s="8">
        <v>384</v>
      </c>
      <c r="G109" s="1">
        <v>20.9</v>
      </c>
      <c r="H109" s="9">
        <v>6.1269999999999998</v>
      </c>
      <c r="I109" s="1">
        <v>14.09</v>
      </c>
      <c r="J109" s="1">
        <v>20.399999999999999</v>
      </c>
    </row>
    <row r="110" spans="1:10">
      <c r="A110" s="5">
        <v>6.65</v>
      </c>
      <c r="B110" s="6">
        <v>0.97099999999999997</v>
      </c>
      <c r="C110" s="7">
        <v>8.56</v>
      </c>
      <c r="D110" s="6">
        <v>0.52</v>
      </c>
      <c r="E110" s="1">
        <v>5</v>
      </c>
      <c r="F110" s="8">
        <v>384</v>
      </c>
      <c r="G110" s="1">
        <v>20.9</v>
      </c>
      <c r="H110" s="9">
        <v>6.4740000000000002</v>
      </c>
      <c r="I110" s="1">
        <v>12.27</v>
      </c>
      <c r="J110" s="1">
        <v>19.8</v>
      </c>
    </row>
    <row r="111" spans="1:10">
      <c r="A111" s="5">
        <v>3.29</v>
      </c>
      <c r="B111" s="6">
        <v>0.91200000000000003</v>
      </c>
      <c r="C111" s="7">
        <v>8.56</v>
      </c>
      <c r="D111" s="6">
        <v>0.52</v>
      </c>
      <c r="E111" s="1">
        <v>5</v>
      </c>
      <c r="F111" s="8">
        <v>384</v>
      </c>
      <c r="G111" s="1">
        <v>20.9</v>
      </c>
      <c r="H111" s="9">
        <v>6.2290000000000001</v>
      </c>
      <c r="I111" s="1">
        <v>15.55</v>
      </c>
      <c r="J111" s="1">
        <v>19.399999999999999</v>
      </c>
    </row>
    <row r="112" spans="1:10">
      <c r="A112" s="5">
        <v>5.25</v>
      </c>
      <c r="B112" s="6">
        <v>0.54400000000000004</v>
      </c>
      <c r="C112" s="7">
        <v>8.56</v>
      </c>
      <c r="D112" s="6">
        <v>0.52</v>
      </c>
      <c r="E112" s="1">
        <v>5</v>
      </c>
      <c r="F112" s="8">
        <v>384</v>
      </c>
      <c r="G112" s="1">
        <v>20.9</v>
      </c>
      <c r="H112" s="9">
        <v>6.1950000000000003</v>
      </c>
      <c r="I112" s="1">
        <v>13</v>
      </c>
      <c r="J112" s="1">
        <v>21.7</v>
      </c>
    </row>
    <row r="113" spans="1:10">
      <c r="A113" s="5">
        <v>9.17</v>
      </c>
      <c r="B113" s="6">
        <v>0.81599999999999995</v>
      </c>
      <c r="C113" s="7">
        <v>10.01</v>
      </c>
      <c r="D113" s="6">
        <v>0.54700000000000004</v>
      </c>
      <c r="E113" s="1">
        <v>6</v>
      </c>
      <c r="F113" s="8">
        <v>432</v>
      </c>
      <c r="G113" s="1">
        <v>17.8</v>
      </c>
      <c r="H113" s="9">
        <v>6.7149999999999999</v>
      </c>
      <c r="I113" s="1">
        <v>10.16</v>
      </c>
      <c r="J113" s="1">
        <v>22.8</v>
      </c>
    </row>
    <row r="114" spans="1:10">
      <c r="A114" s="5">
        <v>8.48</v>
      </c>
      <c r="B114" s="6">
        <v>0.92900000000000005</v>
      </c>
      <c r="C114" s="7">
        <v>10.01</v>
      </c>
      <c r="D114" s="6">
        <v>0.54700000000000004</v>
      </c>
      <c r="E114" s="1">
        <v>6</v>
      </c>
      <c r="F114" s="8">
        <v>432</v>
      </c>
      <c r="G114" s="1">
        <v>17.8</v>
      </c>
      <c r="H114" s="9">
        <v>5.9130000000000003</v>
      </c>
      <c r="I114" s="1">
        <v>16.21</v>
      </c>
      <c r="J114" s="1">
        <v>18.8</v>
      </c>
    </row>
    <row r="115" spans="1:10">
      <c r="A115" s="5">
        <v>9.08</v>
      </c>
      <c r="B115" s="6">
        <v>0.95400000000000007</v>
      </c>
      <c r="C115" s="7">
        <v>10.01</v>
      </c>
      <c r="D115" s="6">
        <v>0.54700000000000004</v>
      </c>
      <c r="E115" s="1">
        <v>6</v>
      </c>
      <c r="F115" s="8">
        <v>432</v>
      </c>
      <c r="G115" s="1">
        <v>17.8</v>
      </c>
      <c r="H115" s="9">
        <v>6.0919999999999996</v>
      </c>
      <c r="I115" s="1">
        <v>17.09</v>
      </c>
      <c r="J115" s="1">
        <v>18.7</v>
      </c>
    </row>
    <row r="116" spans="1:10">
      <c r="A116" s="5">
        <v>2.0099999999999998</v>
      </c>
      <c r="B116" s="6">
        <v>0.84200000000000008</v>
      </c>
      <c r="C116" s="7">
        <v>10.01</v>
      </c>
      <c r="D116" s="6">
        <v>0.54700000000000004</v>
      </c>
      <c r="E116" s="1">
        <v>6</v>
      </c>
      <c r="F116" s="8">
        <v>432</v>
      </c>
      <c r="G116" s="1">
        <v>17.8</v>
      </c>
      <c r="H116" s="9">
        <v>6.2539999999999996</v>
      </c>
      <c r="I116" s="1">
        <v>10.45</v>
      </c>
      <c r="J116" s="1">
        <v>18.5</v>
      </c>
    </row>
    <row r="117" spans="1:10">
      <c r="A117" s="5">
        <v>4.57</v>
      </c>
      <c r="B117" s="6">
        <v>0.88200000000000001</v>
      </c>
      <c r="C117" s="7">
        <v>10.01</v>
      </c>
      <c r="D117" s="6">
        <v>0.54700000000000004</v>
      </c>
      <c r="E117" s="1">
        <v>6</v>
      </c>
      <c r="F117" s="8">
        <v>432</v>
      </c>
      <c r="G117" s="1">
        <v>17.8</v>
      </c>
      <c r="H117" s="9">
        <v>5.9279999999999999</v>
      </c>
      <c r="I117" s="1">
        <v>15.76</v>
      </c>
      <c r="J117" s="1">
        <v>18.3</v>
      </c>
    </row>
    <row r="118" spans="1:10">
      <c r="A118" s="5">
        <v>3.48</v>
      </c>
      <c r="B118" s="6">
        <v>0.72499999999999998</v>
      </c>
      <c r="C118" s="7">
        <v>10.01</v>
      </c>
      <c r="D118" s="6">
        <v>0.54700000000000004</v>
      </c>
      <c r="E118" s="1">
        <v>6</v>
      </c>
      <c r="F118" s="8">
        <v>432</v>
      </c>
      <c r="G118" s="1">
        <v>17.8</v>
      </c>
      <c r="H118" s="9">
        <v>6.1760000000000002</v>
      </c>
      <c r="I118" s="1">
        <v>12.04</v>
      </c>
      <c r="J118" s="1">
        <v>21.2</v>
      </c>
    </row>
    <row r="119" spans="1:10">
      <c r="A119" s="5">
        <v>2.21</v>
      </c>
      <c r="B119" s="6">
        <v>0.82599999999999996</v>
      </c>
      <c r="C119" s="7">
        <v>10.01</v>
      </c>
      <c r="D119" s="6">
        <v>0.54700000000000004</v>
      </c>
      <c r="E119" s="1">
        <v>6</v>
      </c>
      <c r="F119" s="8">
        <v>432</v>
      </c>
      <c r="G119" s="1">
        <v>17.8</v>
      </c>
      <c r="H119" s="9">
        <v>6.0209999999999999</v>
      </c>
      <c r="I119" s="1">
        <v>10.3</v>
      </c>
      <c r="J119" s="1">
        <v>19.2</v>
      </c>
    </row>
    <row r="120" spans="1:10">
      <c r="A120" s="5">
        <v>7.21</v>
      </c>
      <c r="B120" s="6">
        <v>0.73099999999999998</v>
      </c>
      <c r="C120" s="7">
        <v>10.01</v>
      </c>
      <c r="D120" s="6">
        <v>0.54700000000000004</v>
      </c>
      <c r="E120" s="1">
        <v>6</v>
      </c>
      <c r="F120" s="8">
        <v>432</v>
      </c>
      <c r="G120" s="1">
        <v>17.8</v>
      </c>
      <c r="H120" s="9">
        <v>5.8719999999999999</v>
      </c>
      <c r="I120" s="1">
        <v>15.37</v>
      </c>
      <c r="J120" s="1">
        <v>20.399999999999999</v>
      </c>
    </row>
    <row r="121" spans="1:10">
      <c r="A121" s="5">
        <v>2.52</v>
      </c>
      <c r="B121" s="6">
        <v>0.65200000000000002</v>
      </c>
      <c r="C121" s="7">
        <v>10.01</v>
      </c>
      <c r="D121" s="6">
        <v>0.54700000000000004</v>
      </c>
      <c r="E121" s="1">
        <v>6</v>
      </c>
      <c r="F121" s="8">
        <v>432</v>
      </c>
      <c r="G121" s="1">
        <v>17.8</v>
      </c>
      <c r="H121" s="9">
        <v>5.7309999999999999</v>
      </c>
      <c r="I121" s="1">
        <v>13.61</v>
      </c>
      <c r="J121" s="1">
        <v>19.3</v>
      </c>
    </row>
    <row r="122" spans="1:10">
      <c r="A122" s="5">
        <v>1.42</v>
      </c>
      <c r="B122" s="6">
        <v>0.69700000000000006</v>
      </c>
      <c r="C122" s="7">
        <v>25.65</v>
      </c>
      <c r="D122" s="6">
        <v>0.58099999999999996</v>
      </c>
      <c r="E122" s="1">
        <v>2</v>
      </c>
      <c r="F122" s="8">
        <v>188</v>
      </c>
      <c r="G122" s="1">
        <v>19.100000000000001</v>
      </c>
      <c r="H122" s="9">
        <v>5.87</v>
      </c>
      <c r="I122" s="1">
        <v>14.37</v>
      </c>
      <c r="J122" s="1">
        <v>22</v>
      </c>
    </row>
    <row r="123" spans="1:10">
      <c r="A123" s="5">
        <v>8.1</v>
      </c>
      <c r="B123" s="6">
        <v>0.84099999999999997</v>
      </c>
      <c r="C123" s="7">
        <v>25.65</v>
      </c>
      <c r="D123" s="6">
        <v>0.58099999999999996</v>
      </c>
      <c r="E123" s="1">
        <v>2</v>
      </c>
      <c r="F123" s="8">
        <v>188</v>
      </c>
      <c r="G123" s="1">
        <v>19.100000000000001</v>
      </c>
      <c r="H123" s="9">
        <v>6.0039999999999996</v>
      </c>
      <c r="I123" s="1">
        <v>14.27</v>
      </c>
      <c r="J123" s="1">
        <v>20.3</v>
      </c>
    </row>
    <row r="124" spans="1:10">
      <c r="A124" s="5">
        <v>8.09</v>
      </c>
      <c r="B124" s="6">
        <v>0.92900000000000005</v>
      </c>
      <c r="C124" s="7">
        <v>25.65</v>
      </c>
      <c r="D124" s="6">
        <v>0.58099999999999996</v>
      </c>
      <c r="E124" s="1">
        <v>2</v>
      </c>
      <c r="F124" s="8">
        <v>188</v>
      </c>
      <c r="G124" s="1">
        <v>19.100000000000001</v>
      </c>
      <c r="H124" s="9">
        <v>5.9610000000000003</v>
      </c>
      <c r="I124" s="1">
        <v>17.93</v>
      </c>
      <c r="J124" s="1">
        <v>20.5</v>
      </c>
    </row>
    <row r="125" spans="1:10">
      <c r="A125" s="5">
        <v>0.6</v>
      </c>
      <c r="B125" s="6">
        <v>0.97</v>
      </c>
      <c r="C125" s="7">
        <v>25.65</v>
      </c>
      <c r="D125" s="6">
        <v>0.58099999999999996</v>
      </c>
      <c r="E125" s="1">
        <v>2</v>
      </c>
      <c r="F125" s="8">
        <v>188</v>
      </c>
      <c r="G125" s="1">
        <v>19.100000000000001</v>
      </c>
      <c r="H125" s="9">
        <v>5.8559999999999999</v>
      </c>
      <c r="I125" s="1">
        <v>25.41</v>
      </c>
      <c r="J125" s="1">
        <v>17.3</v>
      </c>
    </row>
    <row r="126" spans="1:10">
      <c r="A126" s="5">
        <v>2.88</v>
      </c>
      <c r="B126" s="6">
        <v>0.95799999999999996</v>
      </c>
      <c r="C126" s="7">
        <v>25.65</v>
      </c>
      <c r="D126" s="6">
        <v>0.58099999999999996</v>
      </c>
      <c r="E126" s="1">
        <v>2</v>
      </c>
      <c r="F126" s="8">
        <v>188</v>
      </c>
      <c r="G126" s="1">
        <v>19.100000000000001</v>
      </c>
      <c r="H126" s="9">
        <v>5.8789999999999996</v>
      </c>
      <c r="I126" s="1">
        <v>17.579999999999998</v>
      </c>
      <c r="J126" s="1">
        <v>18.8</v>
      </c>
    </row>
    <row r="127" spans="1:10">
      <c r="A127" s="5">
        <v>7.01</v>
      </c>
      <c r="B127" s="6">
        <v>0.88400000000000012</v>
      </c>
      <c r="C127" s="7">
        <v>25.65</v>
      </c>
      <c r="D127" s="6">
        <v>0.58099999999999996</v>
      </c>
      <c r="E127" s="1">
        <v>2</v>
      </c>
      <c r="F127" s="8">
        <v>188</v>
      </c>
      <c r="G127" s="1">
        <v>19.100000000000001</v>
      </c>
      <c r="H127" s="9">
        <v>5.9859999999999998</v>
      </c>
      <c r="I127" s="1">
        <v>14.81</v>
      </c>
      <c r="J127" s="1">
        <v>21.4</v>
      </c>
    </row>
    <row r="128" spans="1:10">
      <c r="A128" s="5">
        <v>3.79</v>
      </c>
      <c r="B128" s="6">
        <v>0.95599999999999996</v>
      </c>
      <c r="C128" s="7">
        <v>25.65</v>
      </c>
      <c r="D128" s="6">
        <v>0.58099999999999996</v>
      </c>
      <c r="E128" s="1">
        <v>2</v>
      </c>
      <c r="F128" s="8">
        <v>188</v>
      </c>
      <c r="G128" s="1">
        <v>19.100000000000001</v>
      </c>
      <c r="H128" s="9">
        <v>5.6130000000000004</v>
      </c>
      <c r="I128" s="1">
        <v>27.26</v>
      </c>
      <c r="J128" s="1">
        <v>15.7</v>
      </c>
    </row>
    <row r="129" spans="1:10">
      <c r="A129" s="5">
        <v>7.15</v>
      </c>
      <c r="B129" s="6">
        <v>0.96</v>
      </c>
      <c r="C129" s="7">
        <v>21.89</v>
      </c>
      <c r="D129" s="6">
        <v>0.624</v>
      </c>
      <c r="E129" s="1">
        <v>4</v>
      </c>
      <c r="F129" s="8">
        <v>437</v>
      </c>
      <c r="G129" s="1">
        <v>21.2</v>
      </c>
      <c r="H129" s="9">
        <v>5.6929999999999996</v>
      </c>
      <c r="I129" s="1">
        <v>17.190000000000001</v>
      </c>
      <c r="J129" s="1">
        <v>16.2</v>
      </c>
    </row>
    <row r="130" spans="1:10">
      <c r="A130" s="5">
        <v>3.79</v>
      </c>
      <c r="B130" s="6">
        <v>0.98799999999999999</v>
      </c>
      <c r="C130" s="7">
        <v>21.89</v>
      </c>
      <c r="D130" s="6">
        <v>0.624</v>
      </c>
      <c r="E130" s="1">
        <v>4</v>
      </c>
      <c r="F130" s="8">
        <v>437</v>
      </c>
      <c r="G130" s="1">
        <v>21.2</v>
      </c>
      <c r="H130" s="9">
        <v>6.431</v>
      </c>
      <c r="I130" s="1">
        <v>15.39</v>
      </c>
      <c r="J130" s="1">
        <v>18</v>
      </c>
    </row>
    <row r="131" spans="1:10">
      <c r="A131" s="5">
        <v>2.65</v>
      </c>
      <c r="B131" s="6">
        <v>0.94700000000000006</v>
      </c>
      <c r="C131" s="7">
        <v>21.89</v>
      </c>
      <c r="D131" s="6">
        <v>0.624</v>
      </c>
      <c r="E131" s="1">
        <v>4</v>
      </c>
      <c r="F131" s="8">
        <v>437</v>
      </c>
      <c r="G131" s="1">
        <v>21.2</v>
      </c>
      <c r="H131" s="9">
        <v>5.6369999999999996</v>
      </c>
      <c r="I131" s="1">
        <v>18.34</v>
      </c>
      <c r="J131" s="1">
        <v>14.3</v>
      </c>
    </row>
    <row r="132" spans="1:10">
      <c r="A132" s="5">
        <v>6.03</v>
      </c>
      <c r="B132" s="6">
        <v>0.9890000000000001</v>
      </c>
      <c r="C132" s="7">
        <v>21.89</v>
      </c>
      <c r="D132" s="6">
        <v>0.624</v>
      </c>
      <c r="E132" s="1">
        <v>4</v>
      </c>
      <c r="F132" s="8">
        <v>437</v>
      </c>
      <c r="G132" s="1">
        <v>21.2</v>
      </c>
      <c r="H132" s="9">
        <v>6.4580000000000002</v>
      </c>
      <c r="I132" s="1">
        <v>12.6</v>
      </c>
      <c r="J132" s="1">
        <v>19.2</v>
      </c>
    </row>
    <row r="133" spans="1:10">
      <c r="A133" s="5">
        <v>4.3899999999999997</v>
      </c>
      <c r="B133" s="6">
        <v>0.97700000000000009</v>
      </c>
      <c r="C133" s="7">
        <v>21.89</v>
      </c>
      <c r="D133" s="6">
        <v>0.624</v>
      </c>
      <c r="E133" s="1">
        <v>4</v>
      </c>
      <c r="F133" s="8">
        <v>437</v>
      </c>
      <c r="G133" s="1">
        <v>21.2</v>
      </c>
      <c r="H133" s="9">
        <v>6.3259999999999996</v>
      </c>
      <c r="I133" s="1">
        <v>12.26</v>
      </c>
      <c r="J133" s="1">
        <v>19.600000000000001</v>
      </c>
    </row>
    <row r="134" spans="1:10">
      <c r="A134" s="5">
        <v>8.58</v>
      </c>
      <c r="B134" s="6">
        <v>0.97900000000000009</v>
      </c>
      <c r="C134" s="7">
        <v>21.89</v>
      </c>
      <c r="D134" s="6">
        <v>0.624</v>
      </c>
      <c r="E134" s="1">
        <v>4</v>
      </c>
      <c r="F134" s="8">
        <v>437</v>
      </c>
      <c r="G134" s="1">
        <v>21.2</v>
      </c>
      <c r="H134" s="9">
        <v>6.3719999999999999</v>
      </c>
      <c r="I134" s="1">
        <v>11.12</v>
      </c>
      <c r="J134" s="1">
        <v>23</v>
      </c>
    </row>
    <row r="135" spans="1:10">
      <c r="A135" s="5">
        <v>0.4</v>
      </c>
      <c r="B135" s="6">
        <v>0.95400000000000007</v>
      </c>
      <c r="C135" s="7">
        <v>21.89</v>
      </c>
      <c r="D135" s="6">
        <v>0.624</v>
      </c>
      <c r="E135" s="1">
        <v>4</v>
      </c>
      <c r="F135" s="8">
        <v>437</v>
      </c>
      <c r="G135" s="1">
        <v>21.2</v>
      </c>
      <c r="H135" s="9">
        <v>5.8220000000000001</v>
      </c>
      <c r="I135" s="1">
        <v>15.03</v>
      </c>
      <c r="J135" s="1">
        <v>18.399999999999999</v>
      </c>
    </row>
    <row r="136" spans="1:10">
      <c r="A136" s="5">
        <v>5.48</v>
      </c>
      <c r="B136" s="6">
        <v>0.9840000000000001</v>
      </c>
      <c r="C136" s="7">
        <v>21.89</v>
      </c>
      <c r="D136" s="6">
        <v>0.624</v>
      </c>
      <c r="E136" s="1">
        <v>4</v>
      </c>
      <c r="F136" s="8">
        <v>437</v>
      </c>
      <c r="G136" s="1">
        <v>21.2</v>
      </c>
      <c r="H136" s="9">
        <v>5.7569999999999997</v>
      </c>
      <c r="I136" s="1">
        <v>17.309999999999999</v>
      </c>
      <c r="J136" s="1">
        <v>15.6</v>
      </c>
    </row>
    <row r="137" spans="1:10">
      <c r="A137" s="5">
        <v>0.66</v>
      </c>
      <c r="B137" s="6">
        <v>0.9820000000000001</v>
      </c>
      <c r="C137" s="7">
        <v>21.89</v>
      </c>
      <c r="D137" s="6">
        <v>0.624</v>
      </c>
      <c r="E137" s="1">
        <v>4</v>
      </c>
      <c r="F137" s="8">
        <v>437</v>
      </c>
      <c r="G137" s="1">
        <v>21.2</v>
      </c>
      <c r="H137" s="9">
        <v>6.335</v>
      </c>
      <c r="I137" s="1">
        <v>16.96</v>
      </c>
      <c r="J137" s="1">
        <v>18.100000000000001</v>
      </c>
    </row>
    <row r="138" spans="1:10">
      <c r="A138" s="5">
        <v>9.8699999999999992</v>
      </c>
      <c r="B138" s="6">
        <v>0.93500000000000005</v>
      </c>
      <c r="C138" s="7">
        <v>21.89</v>
      </c>
      <c r="D138" s="6">
        <v>0.624</v>
      </c>
      <c r="E138" s="1">
        <v>4</v>
      </c>
      <c r="F138" s="8">
        <v>437</v>
      </c>
      <c r="G138" s="1">
        <v>21.2</v>
      </c>
      <c r="H138" s="9">
        <v>5.9420000000000002</v>
      </c>
      <c r="I138" s="1">
        <v>16.899999999999999</v>
      </c>
      <c r="J138" s="1">
        <v>17.399999999999999</v>
      </c>
    </row>
    <row r="139" spans="1:10">
      <c r="A139" s="5">
        <v>5.05</v>
      </c>
      <c r="B139" s="6">
        <v>0.9840000000000001</v>
      </c>
      <c r="C139" s="7">
        <v>21.89</v>
      </c>
      <c r="D139" s="6">
        <v>0.624</v>
      </c>
      <c r="E139" s="1">
        <v>4</v>
      </c>
      <c r="F139" s="8">
        <v>437</v>
      </c>
      <c r="G139" s="1">
        <v>21.2</v>
      </c>
      <c r="H139" s="9">
        <v>6.4539999999999997</v>
      </c>
      <c r="I139" s="1">
        <v>14.59</v>
      </c>
      <c r="J139" s="1">
        <v>17.100000000000001</v>
      </c>
    </row>
    <row r="140" spans="1:10">
      <c r="A140" s="5">
        <v>0.91</v>
      </c>
      <c r="B140" s="6">
        <v>0.9820000000000001</v>
      </c>
      <c r="C140" s="7">
        <v>21.89</v>
      </c>
      <c r="D140" s="6">
        <v>0.624</v>
      </c>
      <c r="E140" s="1">
        <v>4</v>
      </c>
      <c r="F140" s="8">
        <v>437</v>
      </c>
      <c r="G140" s="1">
        <v>21.2</v>
      </c>
      <c r="H140" s="9">
        <v>5.8570000000000002</v>
      </c>
      <c r="I140" s="1">
        <v>21.32</v>
      </c>
      <c r="J140" s="1">
        <v>13.3</v>
      </c>
    </row>
    <row r="141" spans="1:10">
      <c r="A141" s="5">
        <v>2.92</v>
      </c>
      <c r="B141" s="6">
        <v>0.97900000000000009</v>
      </c>
      <c r="C141" s="7">
        <v>21.89</v>
      </c>
      <c r="D141" s="6">
        <v>0.624</v>
      </c>
      <c r="E141" s="1">
        <v>4</v>
      </c>
      <c r="F141" s="8">
        <v>437</v>
      </c>
      <c r="G141" s="1">
        <v>21.2</v>
      </c>
      <c r="H141" s="9">
        <v>6.1509999999999998</v>
      </c>
      <c r="I141" s="1">
        <v>18.46</v>
      </c>
      <c r="J141" s="1">
        <v>17.8</v>
      </c>
    </row>
    <row r="142" spans="1:10">
      <c r="A142" s="5">
        <v>8.82</v>
      </c>
      <c r="B142" s="6">
        <v>0.93599999999999994</v>
      </c>
      <c r="C142" s="7">
        <v>21.89</v>
      </c>
      <c r="D142" s="6">
        <v>0.624</v>
      </c>
      <c r="E142" s="1">
        <v>4</v>
      </c>
      <c r="F142" s="8">
        <v>437</v>
      </c>
      <c r="G142" s="1">
        <v>21.2</v>
      </c>
      <c r="H142" s="9">
        <v>6.1740000000000004</v>
      </c>
      <c r="I142" s="1">
        <v>24.16</v>
      </c>
      <c r="J142" s="1">
        <v>14</v>
      </c>
    </row>
    <row r="143" spans="1:10">
      <c r="A143" s="5">
        <v>3.92</v>
      </c>
      <c r="B143" s="6">
        <v>1</v>
      </c>
      <c r="C143" s="7">
        <v>21.89</v>
      </c>
      <c r="D143" s="6">
        <v>0.624</v>
      </c>
      <c r="E143" s="1">
        <v>4</v>
      </c>
      <c r="F143" s="8">
        <v>437</v>
      </c>
      <c r="G143" s="1">
        <v>21.2</v>
      </c>
      <c r="H143" s="9">
        <v>5.0190000000000001</v>
      </c>
      <c r="I143" s="1">
        <v>34.409999999999997</v>
      </c>
      <c r="J143" s="1">
        <v>14.4</v>
      </c>
    </row>
    <row r="144" spans="1:10">
      <c r="A144" s="5">
        <v>3.83</v>
      </c>
      <c r="B144" s="6">
        <v>1</v>
      </c>
      <c r="C144" s="7">
        <v>19.579999999999998</v>
      </c>
      <c r="D144" s="6">
        <v>0.871</v>
      </c>
      <c r="E144" s="1">
        <v>5</v>
      </c>
      <c r="F144" s="8">
        <v>403</v>
      </c>
      <c r="G144" s="1">
        <v>14.7</v>
      </c>
      <c r="H144" s="9">
        <v>5.4029999999999996</v>
      </c>
      <c r="I144" s="1">
        <v>26.82</v>
      </c>
      <c r="J144" s="1">
        <v>13.4</v>
      </c>
    </row>
    <row r="145" spans="1:10">
      <c r="A145" s="5">
        <v>0.68</v>
      </c>
      <c r="B145" s="6">
        <v>1</v>
      </c>
      <c r="C145" s="7">
        <v>19.579999999999998</v>
      </c>
      <c r="D145" s="6">
        <v>0.871</v>
      </c>
      <c r="E145" s="1">
        <v>5</v>
      </c>
      <c r="F145" s="8">
        <v>403</v>
      </c>
      <c r="G145" s="1">
        <v>14.7</v>
      </c>
      <c r="H145" s="9">
        <v>5.468</v>
      </c>
      <c r="I145" s="1">
        <v>26.42</v>
      </c>
      <c r="J145" s="1">
        <v>15.6</v>
      </c>
    </row>
    <row r="146" spans="1:10">
      <c r="A146" s="5">
        <v>1.25</v>
      </c>
      <c r="B146" s="6">
        <v>0.97799999999999998</v>
      </c>
      <c r="C146" s="7">
        <v>19.579999999999998</v>
      </c>
      <c r="D146" s="6">
        <v>0.871</v>
      </c>
      <c r="E146" s="1">
        <v>5</v>
      </c>
      <c r="F146" s="8">
        <v>403</v>
      </c>
      <c r="G146" s="1">
        <v>14.7</v>
      </c>
      <c r="H146" s="9">
        <v>4.9029999999999996</v>
      </c>
      <c r="I146" s="1">
        <v>29.29</v>
      </c>
      <c r="J146" s="1">
        <v>11.8</v>
      </c>
    </row>
    <row r="147" spans="1:10">
      <c r="A147" s="5">
        <v>2.88</v>
      </c>
      <c r="B147" s="6">
        <v>1</v>
      </c>
      <c r="C147" s="7">
        <v>19.579999999999998</v>
      </c>
      <c r="D147" s="6">
        <v>0.871</v>
      </c>
      <c r="E147" s="1">
        <v>5</v>
      </c>
      <c r="F147" s="8">
        <v>403</v>
      </c>
      <c r="G147" s="1">
        <v>14.7</v>
      </c>
      <c r="H147" s="9">
        <v>6.13</v>
      </c>
      <c r="I147" s="1">
        <v>27.8</v>
      </c>
      <c r="J147" s="1">
        <v>13.8</v>
      </c>
    </row>
    <row r="148" spans="1:10">
      <c r="A148" s="5">
        <v>9.89</v>
      </c>
      <c r="B148" s="6">
        <v>1</v>
      </c>
      <c r="C148" s="7">
        <v>19.579999999999998</v>
      </c>
      <c r="D148" s="6">
        <v>0.871</v>
      </c>
      <c r="E148" s="1">
        <v>5</v>
      </c>
      <c r="F148" s="8">
        <v>403</v>
      </c>
      <c r="G148" s="1">
        <v>14.7</v>
      </c>
      <c r="H148" s="9">
        <v>5.6280000000000001</v>
      </c>
      <c r="I148" s="1">
        <v>16.649999999999999</v>
      </c>
      <c r="J148" s="1">
        <v>15.6</v>
      </c>
    </row>
    <row r="149" spans="1:10">
      <c r="A149" s="5">
        <v>8.5399999999999991</v>
      </c>
      <c r="B149" s="6">
        <v>0.95700000000000007</v>
      </c>
      <c r="C149" s="7">
        <v>19.579999999999998</v>
      </c>
      <c r="D149" s="6">
        <v>0.871</v>
      </c>
      <c r="E149" s="1">
        <v>5</v>
      </c>
      <c r="F149" s="8">
        <v>403</v>
      </c>
      <c r="G149" s="1">
        <v>14.7</v>
      </c>
      <c r="H149" s="9">
        <v>4.9260000000000002</v>
      </c>
      <c r="I149" s="1">
        <v>29.53</v>
      </c>
      <c r="J149" s="1">
        <v>14.6</v>
      </c>
    </row>
    <row r="150" spans="1:10">
      <c r="A150" s="5">
        <v>4.75</v>
      </c>
      <c r="B150" s="6">
        <v>0.93799999999999994</v>
      </c>
      <c r="C150" s="7">
        <v>19.579999999999998</v>
      </c>
      <c r="D150" s="6">
        <v>0.871</v>
      </c>
      <c r="E150" s="1">
        <v>5</v>
      </c>
      <c r="F150" s="8">
        <v>403</v>
      </c>
      <c r="G150" s="1">
        <v>14.7</v>
      </c>
      <c r="H150" s="9">
        <v>5.1859999999999999</v>
      </c>
      <c r="I150" s="1">
        <v>28.32</v>
      </c>
      <c r="J150" s="1">
        <v>17.8</v>
      </c>
    </row>
    <row r="151" spans="1:10">
      <c r="A151" s="5">
        <v>3.07</v>
      </c>
      <c r="B151" s="6">
        <v>0.94900000000000007</v>
      </c>
      <c r="C151" s="7">
        <v>19.579999999999998</v>
      </c>
      <c r="D151" s="6">
        <v>0.871</v>
      </c>
      <c r="E151" s="1">
        <v>5</v>
      </c>
      <c r="F151" s="8">
        <v>403</v>
      </c>
      <c r="G151" s="1">
        <v>14.7</v>
      </c>
      <c r="H151" s="9">
        <v>5.5970000000000004</v>
      </c>
      <c r="I151" s="1">
        <v>21.45</v>
      </c>
      <c r="J151" s="1">
        <v>15.4</v>
      </c>
    </row>
    <row r="152" spans="1:10">
      <c r="A152" s="5">
        <v>9.17</v>
      </c>
      <c r="B152" s="6">
        <v>0.97299999999999998</v>
      </c>
      <c r="C152" s="7">
        <v>19.579999999999998</v>
      </c>
      <c r="D152" s="6">
        <v>0.871</v>
      </c>
      <c r="E152" s="1">
        <v>5</v>
      </c>
      <c r="F152" s="8">
        <v>403</v>
      </c>
      <c r="G152" s="1">
        <v>14.7</v>
      </c>
      <c r="H152" s="9">
        <v>6.1219999999999999</v>
      </c>
      <c r="I152" s="1">
        <v>14.1</v>
      </c>
      <c r="J152" s="1">
        <v>21.5</v>
      </c>
    </row>
    <row r="153" spans="1:10">
      <c r="A153" s="5">
        <v>9.33</v>
      </c>
      <c r="B153" s="6">
        <v>1</v>
      </c>
      <c r="C153" s="7">
        <v>19.579999999999998</v>
      </c>
      <c r="D153" s="6">
        <v>0.871</v>
      </c>
      <c r="E153" s="1">
        <v>5</v>
      </c>
      <c r="F153" s="8">
        <v>403</v>
      </c>
      <c r="G153" s="1">
        <v>14.7</v>
      </c>
      <c r="H153" s="9">
        <v>5.4039999999999999</v>
      </c>
      <c r="I153" s="1">
        <v>13.28</v>
      </c>
      <c r="J153" s="1">
        <v>19.600000000000001</v>
      </c>
    </row>
    <row r="154" spans="1:10">
      <c r="A154" s="5">
        <v>3.51</v>
      </c>
      <c r="B154" s="6">
        <v>0.88</v>
      </c>
      <c r="C154" s="7">
        <v>19.579999999999998</v>
      </c>
      <c r="D154" s="6">
        <v>0.871</v>
      </c>
      <c r="E154" s="1">
        <v>5</v>
      </c>
      <c r="F154" s="8">
        <v>403</v>
      </c>
      <c r="G154" s="1">
        <v>14.7</v>
      </c>
      <c r="H154" s="9">
        <v>5.0119999999999996</v>
      </c>
      <c r="I154" s="1">
        <v>12.12</v>
      </c>
      <c r="J154" s="1">
        <v>15.3</v>
      </c>
    </row>
    <row r="155" spans="1:10">
      <c r="A155" s="5">
        <v>9.81</v>
      </c>
      <c r="B155" s="6">
        <v>0.98499999999999999</v>
      </c>
      <c r="C155" s="7">
        <v>19.579999999999998</v>
      </c>
      <c r="D155" s="6">
        <v>0.871</v>
      </c>
      <c r="E155" s="1">
        <v>5</v>
      </c>
      <c r="F155" s="8">
        <v>403</v>
      </c>
      <c r="G155" s="1">
        <v>14.7</v>
      </c>
      <c r="H155" s="9">
        <v>5.7089999999999996</v>
      </c>
      <c r="I155" s="1">
        <v>15.79</v>
      </c>
      <c r="J155" s="1">
        <v>19.399999999999999</v>
      </c>
    </row>
    <row r="156" spans="1:10">
      <c r="A156" s="5">
        <v>1.24</v>
      </c>
      <c r="B156" s="6">
        <v>0.96</v>
      </c>
      <c r="C156" s="7">
        <v>19.579999999999998</v>
      </c>
      <c r="D156" s="6">
        <v>0.871</v>
      </c>
      <c r="E156" s="1">
        <v>5</v>
      </c>
      <c r="F156" s="8">
        <v>403</v>
      </c>
      <c r="G156" s="1">
        <v>14.7</v>
      </c>
      <c r="H156" s="9">
        <v>6.1289999999999996</v>
      </c>
      <c r="I156" s="1">
        <v>15.12</v>
      </c>
      <c r="J156" s="1">
        <v>17</v>
      </c>
    </row>
    <row r="157" spans="1:10">
      <c r="A157" s="5">
        <v>0.76</v>
      </c>
      <c r="B157" s="6">
        <v>0.82599999999999996</v>
      </c>
      <c r="C157" s="7">
        <v>19.579999999999998</v>
      </c>
      <c r="D157" s="6">
        <v>0.871</v>
      </c>
      <c r="E157" s="1">
        <v>5</v>
      </c>
      <c r="F157" s="8">
        <v>403</v>
      </c>
      <c r="G157" s="1">
        <v>14.7</v>
      </c>
      <c r="H157" s="9">
        <v>6.1520000000000001</v>
      </c>
      <c r="I157" s="1">
        <v>15.02</v>
      </c>
      <c r="J157" s="1">
        <v>15.6</v>
      </c>
    </row>
    <row r="158" spans="1:10">
      <c r="A158" s="5">
        <v>9.09</v>
      </c>
      <c r="B158" s="6">
        <v>0.94000000000000006</v>
      </c>
      <c r="C158" s="7">
        <v>19.579999999999998</v>
      </c>
      <c r="D158" s="6">
        <v>0.871</v>
      </c>
      <c r="E158" s="1">
        <v>5</v>
      </c>
      <c r="F158" s="8">
        <v>403</v>
      </c>
      <c r="G158" s="1">
        <v>14.7</v>
      </c>
      <c r="H158" s="9">
        <v>5.2720000000000002</v>
      </c>
      <c r="I158" s="1">
        <v>16.14</v>
      </c>
      <c r="J158" s="1">
        <v>13.1</v>
      </c>
    </row>
    <row r="159" spans="1:10">
      <c r="A159" s="5">
        <v>7.86</v>
      </c>
      <c r="B159" s="6">
        <v>0.97400000000000009</v>
      </c>
      <c r="C159" s="7">
        <v>19.579999999999998</v>
      </c>
      <c r="D159" s="6">
        <v>0.60499999999999998</v>
      </c>
      <c r="E159" s="1">
        <v>5</v>
      </c>
      <c r="F159" s="8">
        <v>403</v>
      </c>
      <c r="G159" s="1">
        <v>14.7</v>
      </c>
      <c r="H159" s="9">
        <v>6.9429999999999996</v>
      </c>
      <c r="I159" s="1">
        <v>4.59</v>
      </c>
      <c r="J159" s="1">
        <v>41.3</v>
      </c>
    </row>
    <row r="160" spans="1:10">
      <c r="A160" s="5">
        <v>4.6900000000000004</v>
      </c>
      <c r="B160" s="6">
        <v>1</v>
      </c>
      <c r="C160" s="7">
        <v>19.579999999999998</v>
      </c>
      <c r="D160" s="6">
        <v>0.60499999999999998</v>
      </c>
      <c r="E160" s="1">
        <v>5</v>
      </c>
      <c r="F160" s="8">
        <v>403</v>
      </c>
      <c r="G160" s="1">
        <v>14.7</v>
      </c>
      <c r="H160" s="9">
        <v>6.0659999999999998</v>
      </c>
      <c r="I160" s="1">
        <v>6.43</v>
      </c>
      <c r="J160" s="1">
        <v>24.3</v>
      </c>
    </row>
    <row r="161" spans="1:10">
      <c r="A161" s="5">
        <v>4.8099999999999996</v>
      </c>
      <c r="B161" s="6">
        <v>1</v>
      </c>
      <c r="C161" s="7">
        <v>19.579999999999998</v>
      </c>
      <c r="D161" s="6">
        <v>0.871</v>
      </c>
      <c r="E161" s="1">
        <v>5</v>
      </c>
      <c r="F161" s="8">
        <v>403</v>
      </c>
      <c r="G161" s="1">
        <v>14.7</v>
      </c>
      <c r="H161" s="9">
        <v>6.51</v>
      </c>
      <c r="I161" s="1">
        <v>7.39</v>
      </c>
      <c r="J161" s="1">
        <v>23.3</v>
      </c>
    </row>
    <row r="162" spans="1:10">
      <c r="A162" s="5">
        <v>8.65</v>
      </c>
      <c r="B162" s="6">
        <v>0.92599999999999993</v>
      </c>
      <c r="C162" s="7">
        <v>19.579999999999998</v>
      </c>
      <c r="D162" s="6">
        <v>0.60499999999999998</v>
      </c>
      <c r="E162" s="1">
        <v>5</v>
      </c>
      <c r="F162" s="8">
        <v>403</v>
      </c>
      <c r="G162" s="1">
        <v>14.7</v>
      </c>
      <c r="H162" s="9">
        <v>6.25</v>
      </c>
      <c r="I162" s="1">
        <v>5.5</v>
      </c>
      <c r="J162" s="1">
        <v>27</v>
      </c>
    </row>
    <row r="163" spans="1:10">
      <c r="A163" s="5">
        <v>2.63</v>
      </c>
      <c r="B163" s="6">
        <v>0.90800000000000003</v>
      </c>
      <c r="C163" s="7">
        <v>19.579999999999998</v>
      </c>
      <c r="D163" s="6">
        <v>0.60499999999999998</v>
      </c>
      <c r="E163" s="1">
        <v>5</v>
      </c>
      <c r="F163" s="8">
        <v>403</v>
      </c>
      <c r="G163" s="1">
        <v>14.7</v>
      </c>
      <c r="H163" s="9">
        <v>7.4889999999999999</v>
      </c>
      <c r="I163" s="1">
        <v>1.73</v>
      </c>
      <c r="J163" s="1">
        <v>50</v>
      </c>
    </row>
    <row r="164" spans="1:10">
      <c r="A164" s="5">
        <v>8.39</v>
      </c>
      <c r="B164" s="6">
        <v>0.9820000000000001</v>
      </c>
      <c r="C164" s="7">
        <v>19.579999999999998</v>
      </c>
      <c r="D164" s="6">
        <v>0.60499999999999998</v>
      </c>
      <c r="E164" s="1">
        <v>5</v>
      </c>
      <c r="F164" s="8">
        <v>403</v>
      </c>
      <c r="G164" s="1">
        <v>14.7</v>
      </c>
      <c r="H164" s="9">
        <v>7.8019999999999996</v>
      </c>
      <c r="I164" s="1">
        <v>1.92</v>
      </c>
      <c r="J164" s="1">
        <v>50</v>
      </c>
    </row>
    <row r="165" spans="1:10">
      <c r="A165" s="5">
        <v>1.26</v>
      </c>
      <c r="B165" s="6">
        <v>0.93900000000000006</v>
      </c>
      <c r="C165" s="7">
        <v>19.579999999999998</v>
      </c>
      <c r="D165" s="6">
        <v>0.60499999999999998</v>
      </c>
      <c r="E165" s="1">
        <v>5</v>
      </c>
      <c r="F165" s="8">
        <v>403</v>
      </c>
      <c r="G165" s="1">
        <v>14.7</v>
      </c>
      <c r="H165" s="9">
        <v>8.375</v>
      </c>
      <c r="I165" s="1">
        <v>3.32</v>
      </c>
      <c r="J165" s="1">
        <v>50</v>
      </c>
    </row>
    <row r="166" spans="1:10">
      <c r="A166" s="5">
        <v>0.75</v>
      </c>
      <c r="B166" s="6">
        <v>0.91800000000000004</v>
      </c>
      <c r="C166" s="7">
        <v>19.579999999999998</v>
      </c>
      <c r="D166" s="6">
        <v>0.60499999999999998</v>
      </c>
      <c r="E166" s="1">
        <v>5</v>
      </c>
      <c r="F166" s="8">
        <v>403</v>
      </c>
      <c r="G166" s="1">
        <v>14.7</v>
      </c>
      <c r="H166" s="9">
        <v>5.8540000000000001</v>
      </c>
      <c r="I166" s="1">
        <v>11.64</v>
      </c>
      <c r="J166" s="1">
        <v>22.7</v>
      </c>
    </row>
    <row r="167" spans="1:10">
      <c r="A167" s="5">
        <v>6.11</v>
      </c>
      <c r="B167" s="6">
        <v>0.93</v>
      </c>
      <c r="C167" s="7">
        <v>19.579999999999998</v>
      </c>
      <c r="D167" s="6">
        <v>0.60499999999999998</v>
      </c>
      <c r="E167" s="1">
        <v>5</v>
      </c>
      <c r="F167" s="8">
        <v>403</v>
      </c>
      <c r="G167" s="1">
        <v>14.7</v>
      </c>
      <c r="H167" s="9">
        <v>6.101</v>
      </c>
      <c r="I167" s="1">
        <v>9.81</v>
      </c>
      <c r="J167" s="1">
        <v>25</v>
      </c>
    </row>
    <row r="168" spans="1:10">
      <c r="A168" s="5">
        <v>1.5</v>
      </c>
      <c r="B168" s="6">
        <v>0.96200000000000008</v>
      </c>
      <c r="C168" s="7">
        <v>19.579999999999998</v>
      </c>
      <c r="D168" s="6">
        <v>0.60499999999999998</v>
      </c>
      <c r="E168" s="1">
        <v>5</v>
      </c>
      <c r="F168" s="8">
        <v>403</v>
      </c>
      <c r="G168" s="1">
        <v>14.7</v>
      </c>
      <c r="H168" s="9">
        <v>7.9290000000000003</v>
      </c>
      <c r="I168" s="1">
        <v>3.7</v>
      </c>
      <c r="J168" s="1">
        <v>50</v>
      </c>
    </row>
    <row r="169" spans="1:10">
      <c r="A169" s="5">
        <v>1.33</v>
      </c>
      <c r="B169" s="6">
        <v>0.79200000000000004</v>
      </c>
      <c r="C169" s="7">
        <v>19.579999999999998</v>
      </c>
      <c r="D169" s="6">
        <v>0.60499999999999998</v>
      </c>
      <c r="E169" s="1">
        <v>5</v>
      </c>
      <c r="F169" s="8">
        <v>403</v>
      </c>
      <c r="G169" s="1">
        <v>14.7</v>
      </c>
      <c r="H169" s="9">
        <v>5.8769999999999998</v>
      </c>
      <c r="I169" s="1">
        <v>12.14</v>
      </c>
      <c r="J169" s="1">
        <v>23.8</v>
      </c>
    </row>
    <row r="170" spans="1:10">
      <c r="A170" s="5">
        <v>6.02</v>
      </c>
      <c r="B170" s="6">
        <v>0.96099999999999997</v>
      </c>
      <c r="C170" s="7">
        <v>19.579999999999998</v>
      </c>
      <c r="D170" s="6">
        <v>0.60499999999999998</v>
      </c>
      <c r="E170" s="1">
        <v>5</v>
      </c>
      <c r="F170" s="8">
        <v>403</v>
      </c>
      <c r="G170" s="1">
        <v>14.7</v>
      </c>
      <c r="H170" s="9">
        <v>6.319</v>
      </c>
      <c r="I170" s="1">
        <v>11.1</v>
      </c>
      <c r="J170" s="1">
        <v>23.8</v>
      </c>
    </row>
    <row r="171" spans="1:10">
      <c r="A171" s="5">
        <v>0.42</v>
      </c>
      <c r="B171" s="6">
        <v>0.95200000000000007</v>
      </c>
      <c r="C171" s="7">
        <v>19.579999999999998</v>
      </c>
      <c r="D171" s="6">
        <v>0.60499999999999998</v>
      </c>
      <c r="E171" s="1">
        <v>5</v>
      </c>
      <c r="F171" s="8">
        <v>403</v>
      </c>
      <c r="G171" s="1">
        <v>14.7</v>
      </c>
      <c r="H171" s="9">
        <v>6.4020000000000001</v>
      </c>
      <c r="I171" s="1">
        <v>11.32</v>
      </c>
      <c r="J171" s="1">
        <v>22.3</v>
      </c>
    </row>
    <row r="172" spans="1:10">
      <c r="A172" s="5">
        <v>4.8</v>
      </c>
      <c r="B172" s="6">
        <v>0.94599999999999995</v>
      </c>
      <c r="C172" s="7">
        <v>19.579999999999998</v>
      </c>
      <c r="D172" s="6">
        <v>0.60499999999999998</v>
      </c>
      <c r="E172" s="1">
        <v>5</v>
      </c>
      <c r="F172" s="8">
        <v>403</v>
      </c>
      <c r="G172" s="1">
        <v>14.7</v>
      </c>
      <c r="H172" s="9">
        <v>5.875</v>
      </c>
      <c r="I172" s="1">
        <v>14.43</v>
      </c>
      <c r="J172" s="1">
        <v>17.399999999999999</v>
      </c>
    </row>
    <row r="173" spans="1:10">
      <c r="A173" s="5">
        <v>6.98</v>
      </c>
      <c r="B173" s="6">
        <v>0.97299999999999998</v>
      </c>
      <c r="C173" s="7">
        <v>19.579999999999998</v>
      </c>
      <c r="D173" s="6">
        <v>0.60499999999999998</v>
      </c>
      <c r="E173" s="1">
        <v>5</v>
      </c>
      <c r="F173" s="8">
        <v>403</v>
      </c>
      <c r="G173" s="1">
        <v>14.7</v>
      </c>
      <c r="H173" s="9">
        <v>5.88</v>
      </c>
      <c r="I173" s="1">
        <v>12.03</v>
      </c>
      <c r="J173" s="1">
        <v>19.100000000000001</v>
      </c>
    </row>
    <row r="174" spans="1:10">
      <c r="A174" s="5">
        <v>0.57999999999999996</v>
      </c>
      <c r="B174" s="6">
        <v>0.88500000000000001</v>
      </c>
      <c r="C174" s="7">
        <v>4.05</v>
      </c>
      <c r="D174" s="6">
        <v>0.51</v>
      </c>
      <c r="E174" s="1">
        <v>5</v>
      </c>
      <c r="F174" s="8">
        <v>296</v>
      </c>
      <c r="G174" s="1">
        <v>16.600000000000001</v>
      </c>
      <c r="H174" s="9">
        <v>5.5720000000000001</v>
      </c>
      <c r="I174" s="1">
        <v>14.69</v>
      </c>
      <c r="J174" s="1">
        <v>23.1</v>
      </c>
    </row>
    <row r="175" spans="1:10">
      <c r="A175" s="5">
        <v>3.64</v>
      </c>
      <c r="B175" s="6">
        <v>0.84099999999999997</v>
      </c>
      <c r="C175" s="7">
        <v>4.05</v>
      </c>
      <c r="D175" s="6">
        <v>0.51</v>
      </c>
      <c r="E175" s="1">
        <v>5</v>
      </c>
      <c r="F175" s="8">
        <v>296</v>
      </c>
      <c r="G175" s="1">
        <v>16.600000000000001</v>
      </c>
      <c r="H175" s="9">
        <v>6.4160000000000004</v>
      </c>
      <c r="I175" s="1">
        <v>9.0399999999999991</v>
      </c>
      <c r="J175" s="1">
        <v>23.6</v>
      </c>
    </row>
    <row r="176" spans="1:10">
      <c r="A176" s="5">
        <v>0.76</v>
      </c>
      <c r="B176" s="6">
        <v>0.68700000000000006</v>
      </c>
      <c r="C176" s="7">
        <v>4.05</v>
      </c>
      <c r="D176" s="6">
        <v>0.51</v>
      </c>
      <c r="E176" s="1">
        <v>5</v>
      </c>
      <c r="F176" s="8">
        <v>296</v>
      </c>
      <c r="G176" s="1">
        <v>16.600000000000001</v>
      </c>
      <c r="H176" s="9">
        <v>5.859</v>
      </c>
      <c r="I176" s="1">
        <v>9.64</v>
      </c>
      <c r="J176" s="1">
        <v>22.6</v>
      </c>
    </row>
    <row r="177" spans="1:10">
      <c r="A177" s="5">
        <v>3.45</v>
      </c>
      <c r="B177" s="6">
        <v>0.33100000000000002</v>
      </c>
      <c r="C177" s="7">
        <v>4.05</v>
      </c>
      <c r="D177" s="6">
        <v>0.51</v>
      </c>
      <c r="E177" s="1">
        <v>5</v>
      </c>
      <c r="F177" s="8">
        <v>296</v>
      </c>
      <c r="G177" s="1">
        <v>16.600000000000001</v>
      </c>
      <c r="H177" s="9">
        <v>6.5460000000000003</v>
      </c>
      <c r="I177" s="1">
        <v>5.33</v>
      </c>
      <c r="J177" s="1">
        <v>29.4</v>
      </c>
    </row>
    <row r="178" spans="1:10">
      <c r="A178" s="5">
        <v>3.56</v>
      </c>
      <c r="B178" s="6">
        <v>0.47200000000000003</v>
      </c>
      <c r="C178" s="7">
        <v>4.05</v>
      </c>
      <c r="D178" s="6">
        <v>0.51</v>
      </c>
      <c r="E178" s="1">
        <v>5</v>
      </c>
      <c r="F178" s="8">
        <v>296</v>
      </c>
      <c r="G178" s="1">
        <v>16.600000000000001</v>
      </c>
      <c r="H178" s="9">
        <v>6.02</v>
      </c>
      <c r="I178" s="1">
        <v>10.11</v>
      </c>
      <c r="J178" s="1">
        <v>23.2</v>
      </c>
    </row>
    <row r="179" spans="1:10">
      <c r="A179" s="5">
        <v>6.08</v>
      </c>
      <c r="B179" s="6">
        <v>0.7340000000000001</v>
      </c>
      <c r="C179" s="7">
        <v>4.05</v>
      </c>
      <c r="D179" s="6">
        <v>0.51</v>
      </c>
      <c r="E179" s="1">
        <v>5</v>
      </c>
      <c r="F179" s="8">
        <v>296</v>
      </c>
      <c r="G179" s="1">
        <v>16.600000000000001</v>
      </c>
      <c r="H179" s="9">
        <v>6.3150000000000004</v>
      </c>
      <c r="I179" s="1">
        <v>6.29</v>
      </c>
      <c r="J179" s="1">
        <v>24.6</v>
      </c>
    </row>
    <row r="180" spans="1:10">
      <c r="A180" s="5">
        <v>3.77</v>
      </c>
      <c r="B180" s="6">
        <v>0.74400000000000011</v>
      </c>
      <c r="C180" s="7">
        <v>4.05</v>
      </c>
      <c r="D180" s="6">
        <v>0.51</v>
      </c>
      <c r="E180" s="1">
        <v>5</v>
      </c>
      <c r="F180" s="8">
        <v>296</v>
      </c>
      <c r="G180" s="1">
        <v>16.600000000000001</v>
      </c>
      <c r="H180" s="9">
        <v>6.86</v>
      </c>
      <c r="I180" s="1">
        <v>6.92</v>
      </c>
      <c r="J180" s="1">
        <v>29.9</v>
      </c>
    </row>
    <row r="181" spans="1:10">
      <c r="A181" s="5">
        <v>8.06</v>
      </c>
      <c r="B181" s="6">
        <v>0.58399999999999996</v>
      </c>
      <c r="C181" s="7">
        <v>2.46</v>
      </c>
      <c r="D181" s="6">
        <v>0.48799999999999999</v>
      </c>
      <c r="E181" s="1">
        <v>3</v>
      </c>
      <c r="F181" s="8">
        <v>193</v>
      </c>
      <c r="G181" s="1">
        <v>17.8</v>
      </c>
      <c r="H181" s="9">
        <v>6.98</v>
      </c>
      <c r="I181" s="1">
        <v>5.04</v>
      </c>
      <c r="J181" s="1">
        <v>37.200000000000003</v>
      </c>
    </row>
    <row r="182" spans="1:10">
      <c r="A182" s="5">
        <v>1.77</v>
      </c>
      <c r="B182" s="6">
        <v>0.83299999999999996</v>
      </c>
      <c r="C182" s="7">
        <v>2.46</v>
      </c>
      <c r="D182" s="6">
        <v>0.48799999999999999</v>
      </c>
      <c r="E182" s="1">
        <v>3</v>
      </c>
      <c r="F182" s="8">
        <v>193</v>
      </c>
      <c r="G182" s="1">
        <v>17.8</v>
      </c>
      <c r="H182" s="9">
        <v>7.7649999999999997</v>
      </c>
      <c r="I182" s="1">
        <v>7.56</v>
      </c>
      <c r="J182" s="1">
        <v>39.799999999999997</v>
      </c>
    </row>
    <row r="183" spans="1:10">
      <c r="A183" s="5">
        <v>2.2200000000000002</v>
      </c>
      <c r="B183" s="6">
        <v>0.622</v>
      </c>
      <c r="C183" s="7">
        <v>2.46</v>
      </c>
      <c r="D183" s="6">
        <v>0.48799999999999999</v>
      </c>
      <c r="E183" s="1">
        <v>3</v>
      </c>
      <c r="F183" s="8">
        <v>193</v>
      </c>
      <c r="G183" s="1">
        <v>17.8</v>
      </c>
      <c r="H183" s="9">
        <v>6.1440000000000001</v>
      </c>
      <c r="I183" s="1">
        <v>9.4499999999999993</v>
      </c>
      <c r="J183" s="1">
        <v>36.200000000000003</v>
      </c>
    </row>
    <row r="184" spans="1:10">
      <c r="A184" s="5">
        <v>6.17</v>
      </c>
      <c r="B184" s="6">
        <v>0.92200000000000004</v>
      </c>
      <c r="C184" s="7">
        <v>2.46</v>
      </c>
      <c r="D184" s="6">
        <v>0.48799999999999999</v>
      </c>
      <c r="E184" s="1">
        <v>3</v>
      </c>
      <c r="F184" s="8">
        <v>193</v>
      </c>
      <c r="G184" s="1">
        <v>17.8</v>
      </c>
      <c r="H184" s="9">
        <v>7.1550000000000002</v>
      </c>
      <c r="I184" s="1">
        <v>4.82</v>
      </c>
      <c r="J184" s="1">
        <v>37.9</v>
      </c>
    </row>
    <row r="185" spans="1:10">
      <c r="A185" s="5">
        <v>3.62</v>
      </c>
      <c r="B185" s="6">
        <v>0.95599999999999996</v>
      </c>
      <c r="C185" s="7">
        <v>2.46</v>
      </c>
      <c r="D185" s="6">
        <v>0.48799999999999999</v>
      </c>
      <c r="E185" s="1">
        <v>3</v>
      </c>
      <c r="F185" s="8">
        <v>193</v>
      </c>
      <c r="G185" s="1">
        <v>17.8</v>
      </c>
      <c r="H185" s="9">
        <v>6.5629999999999997</v>
      </c>
      <c r="I185" s="1">
        <v>5.68</v>
      </c>
      <c r="J185" s="1">
        <v>32.5</v>
      </c>
    </row>
    <row r="186" spans="1:10">
      <c r="A186" s="5">
        <v>5.47</v>
      </c>
      <c r="B186" s="6">
        <v>0.89800000000000002</v>
      </c>
      <c r="C186" s="7">
        <v>2.46</v>
      </c>
      <c r="D186" s="6">
        <v>0.48799999999999999</v>
      </c>
      <c r="E186" s="1">
        <v>3</v>
      </c>
      <c r="F186" s="8">
        <v>193</v>
      </c>
      <c r="G186" s="1">
        <v>17.8</v>
      </c>
      <c r="H186" s="9">
        <v>5.6040000000000001</v>
      </c>
      <c r="I186" s="1">
        <v>13.98</v>
      </c>
      <c r="J186" s="1">
        <v>26.4</v>
      </c>
    </row>
    <row r="187" spans="1:10">
      <c r="A187" s="5">
        <v>6.89</v>
      </c>
      <c r="B187" s="6">
        <v>0.68799999999999994</v>
      </c>
      <c r="C187" s="7">
        <v>2.46</v>
      </c>
      <c r="D187" s="6">
        <v>0.48799999999999999</v>
      </c>
      <c r="E187" s="1">
        <v>3</v>
      </c>
      <c r="F187" s="8">
        <v>193</v>
      </c>
      <c r="G187" s="1">
        <v>17.8</v>
      </c>
      <c r="H187" s="9">
        <v>6.1529999999999996</v>
      </c>
      <c r="I187" s="1">
        <v>13.15</v>
      </c>
      <c r="J187" s="1">
        <v>29.6</v>
      </c>
    </row>
    <row r="188" spans="1:10">
      <c r="A188" s="5">
        <v>7.23</v>
      </c>
      <c r="B188" s="6">
        <v>0.53600000000000003</v>
      </c>
      <c r="C188" s="7">
        <v>2.46</v>
      </c>
      <c r="D188" s="6">
        <v>0.48799999999999999</v>
      </c>
      <c r="E188" s="1">
        <v>3</v>
      </c>
      <c r="F188" s="8">
        <v>193</v>
      </c>
      <c r="G188" s="1">
        <v>17.8</v>
      </c>
      <c r="H188" s="9">
        <v>7.8310000000000004</v>
      </c>
      <c r="I188" s="1">
        <v>4.45</v>
      </c>
      <c r="J188" s="1">
        <v>50</v>
      </c>
    </row>
    <row r="189" spans="1:10">
      <c r="A189" s="5">
        <v>0.76</v>
      </c>
      <c r="B189" s="6">
        <v>0.41100000000000003</v>
      </c>
      <c r="C189" s="7">
        <v>3.44</v>
      </c>
      <c r="D189" s="6">
        <v>0.437</v>
      </c>
      <c r="E189" s="1">
        <v>5</v>
      </c>
      <c r="F189" s="8">
        <v>398</v>
      </c>
      <c r="G189" s="1">
        <v>15.2</v>
      </c>
      <c r="H189" s="9">
        <v>6.782</v>
      </c>
      <c r="I189" s="1">
        <v>6.68</v>
      </c>
      <c r="J189" s="1">
        <v>32</v>
      </c>
    </row>
    <row r="190" spans="1:10">
      <c r="A190" s="5">
        <v>3.82</v>
      </c>
      <c r="B190" s="6">
        <v>0.29100000000000004</v>
      </c>
      <c r="C190" s="7">
        <v>3.44</v>
      </c>
      <c r="D190" s="6">
        <v>0.437</v>
      </c>
      <c r="E190" s="1">
        <v>5</v>
      </c>
      <c r="F190" s="8">
        <v>398</v>
      </c>
      <c r="G190" s="1">
        <v>15.2</v>
      </c>
      <c r="H190" s="9">
        <v>6.556</v>
      </c>
      <c r="I190" s="1">
        <v>4.5599999999999996</v>
      </c>
      <c r="J190" s="1">
        <v>29.8</v>
      </c>
    </row>
    <row r="191" spans="1:10">
      <c r="A191" s="5">
        <v>8.73</v>
      </c>
      <c r="B191" s="6">
        <v>0.38900000000000001</v>
      </c>
      <c r="C191" s="7">
        <v>3.44</v>
      </c>
      <c r="D191" s="6">
        <v>0.437</v>
      </c>
      <c r="E191" s="1">
        <v>5</v>
      </c>
      <c r="F191" s="8">
        <v>398</v>
      </c>
      <c r="G191" s="1">
        <v>15.2</v>
      </c>
      <c r="H191" s="9">
        <v>7.1849999999999996</v>
      </c>
      <c r="I191" s="1">
        <v>5.39</v>
      </c>
      <c r="J191" s="1">
        <v>34.9</v>
      </c>
    </row>
    <row r="192" spans="1:10">
      <c r="A192" s="5">
        <v>0.62</v>
      </c>
      <c r="B192" s="6">
        <v>0.215</v>
      </c>
      <c r="C192" s="7">
        <v>3.44</v>
      </c>
      <c r="D192" s="6">
        <v>0.437</v>
      </c>
      <c r="E192" s="1">
        <v>5</v>
      </c>
      <c r="F192" s="8">
        <v>398</v>
      </c>
      <c r="G192" s="1">
        <v>15.2</v>
      </c>
      <c r="H192" s="9">
        <v>6.9509999999999996</v>
      </c>
      <c r="I192" s="1">
        <v>5.0999999999999996</v>
      </c>
      <c r="J192" s="1">
        <v>37</v>
      </c>
    </row>
    <row r="193" spans="1:10">
      <c r="A193" s="5">
        <v>0.9</v>
      </c>
      <c r="B193" s="6">
        <v>0.308</v>
      </c>
      <c r="C193" s="7">
        <v>3.44</v>
      </c>
      <c r="D193" s="6">
        <v>0.437</v>
      </c>
      <c r="E193" s="1">
        <v>5</v>
      </c>
      <c r="F193" s="8">
        <v>398</v>
      </c>
      <c r="G193" s="1">
        <v>15.2</v>
      </c>
      <c r="H193" s="9">
        <v>6.7389999999999999</v>
      </c>
      <c r="I193" s="1">
        <v>4.6900000000000004</v>
      </c>
      <c r="J193" s="1">
        <v>30.5</v>
      </c>
    </row>
    <row r="194" spans="1:10">
      <c r="A194" s="5">
        <v>2.7</v>
      </c>
      <c r="B194" s="6">
        <v>0.26300000000000001</v>
      </c>
      <c r="C194" s="7">
        <v>3.44</v>
      </c>
      <c r="D194" s="6">
        <v>0.437</v>
      </c>
      <c r="E194" s="1">
        <v>5</v>
      </c>
      <c r="F194" s="8">
        <v>398</v>
      </c>
      <c r="G194" s="1">
        <v>15.2</v>
      </c>
      <c r="H194" s="9">
        <v>7.1779999999999999</v>
      </c>
      <c r="I194" s="1">
        <v>2.87</v>
      </c>
      <c r="J194" s="1">
        <v>36.4</v>
      </c>
    </row>
    <row r="195" spans="1:10">
      <c r="A195" s="5">
        <v>6.51</v>
      </c>
      <c r="B195" s="6">
        <v>9.9000000000000005E-2</v>
      </c>
      <c r="C195" s="7">
        <v>2.93</v>
      </c>
      <c r="D195" s="6">
        <v>0.40100000000000002</v>
      </c>
      <c r="E195" s="1">
        <v>1</v>
      </c>
      <c r="F195" s="8">
        <v>265</v>
      </c>
      <c r="G195" s="1">
        <v>15.6</v>
      </c>
      <c r="H195" s="9">
        <v>6.8</v>
      </c>
      <c r="I195" s="1">
        <v>5.03</v>
      </c>
      <c r="J195" s="1">
        <v>31.1</v>
      </c>
    </row>
    <row r="196" spans="1:10">
      <c r="A196" s="5">
        <v>1.65</v>
      </c>
      <c r="B196" s="6">
        <v>0.188</v>
      </c>
      <c r="C196" s="7">
        <v>2.93</v>
      </c>
      <c r="D196" s="6">
        <v>0.40100000000000002</v>
      </c>
      <c r="E196" s="1">
        <v>1</v>
      </c>
      <c r="F196" s="8">
        <v>265</v>
      </c>
      <c r="G196" s="1">
        <v>15.6</v>
      </c>
      <c r="H196" s="9">
        <v>6.6040000000000001</v>
      </c>
      <c r="I196" s="1">
        <v>4.38</v>
      </c>
      <c r="J196" s="1">
        <v>29.1</v>
      </c>
    </row>
    <row r="197" spans="1:10">
      <c r="A197" s="5">
        <v>9.89</v>
      </c>
      <c r="B197" s="6">
        <v>0.32</v>
      </c>
      <c r="C197" s="7">
        <v>0.46</v>
      </c>
      <c r="D197" s="6">
        <v>0.42199999999999999</v>
      </c>
      <c r="E197" s="1">
        <v>4</v>
      </c>
      <c r="F197" s="8">
        <v>255</v>
      </c>
      <c r="G197" s="1">
        <v>14.4</v>
      </c>
      <c r="H197" s="9">
        <v>7.875</v>
      </c>
      <c r="I197" s="1">
        <v>2.97</v>
      </c>
      <c r="J197" s="1">
        <v>50</v>
      </c>
    </row>
    <row r="198" spans="1:10">
      <c r="A198" s="5">
        <v>6.03</v>
      </c>
      <c r="B198" s="6">
        <v>0.34100000000000003</v>
      </c>
      <c r="C198" s="7">
        <v>1.52</v>
      </c>
      <c r="D198" s="6">
        <v>0.40400000000000003</v>
      </c>
      <c r="E198" s="1">
        <v>2</v>
      </c>
      <c r="F198" s="8">
        <v>329</v>
      </c>
      <c r="G198" s="1">
        <v>12.6</v>
      </c>
      <c r="H198" s="9">
        <v>7.2869999999999999</v>
      </c>
      <c r="I198" s="1">
        <v>4.08</v>
      </c>
      <c r="J198" s="1">
        <v>33.299999999999997</v>
      </c>
    </row>
    <row r="199" spans="1:10">
      <c r="A199" s="5">
        <v>6.31</v>
      </c>
      <c r="B199" s="6">
        <v>0.36600000000000005</v>
      </c>
      <c r="C199" s="7">
        <v>1.52</v>
      </c>
      <c r="D199" s="6">
        <v>0.40400000000000003</v>
      </c>
      <c r="E199" s="1">
        <v>2</v>
      </c>
      <c r="F199" s="8">
        <v>329</v>
      </c>
      <c r="G199" s="1">
        <v>12.6</v>
      </c>
      <c r="H199" s="9">
        <v>7.1070000000000002</v>
      </c>
      <c r="I199" s="1">
        <v>8.61</v>
      </c>
      <c r="J199" s="1">
        <v>30.3</v>
      </c>
    </row>
    <row r="200" spans="1:10">
      <c r="A200" s="5">
        <v>9.7799999999999994</v>
      </c>
      <c r="B200" s="6">
        <v>0.38300000000000001</v>
      </c>
      <c r="C200" s="7">
        <v>1.52</v>
      </c>
      <c r="D200" s="6">
        <v>0.40400000000000003</v>
      </c>
      <c r="E200" s="1">
        <v>2</v>
      </c>
      <c r="F200" s="8">
        <v>329</v>
      </c>
      <c r="G200" s="1">
        <v>12.6</v>
      </c>
      <c r="H200" s="9">
        <v>7.274</v>
      </c>
      <c r="I200" s="1">
        <v>6.62</v>
      </c>
      <c r="J200" s="1">
        <v>34.6</v>
      </c>
    </row>
    <row r="201" spans="1:10">
      <c r="A201" s="5">
        <v>3.19</v>
      </c>
      <c r="B201" s="6">
        <v>0.153</v>
      </c>
      <c r="C201" s="7">
        <v>1.47</v>
      </c>
      <c r="D201" s="6">
        <v>0.40300000000000002</v>
      </c>
      <c r="E201" s="1">
        <v>3</v>
      </c>
      <c r="F201" s="8">
        <v>402</v>
      </c>
      <c r="G201" s="1">
        <v>17</v>
      </c>
      <c r="H201" s="9">
        <v>6.9749999999999996</v>
      </c>
      <c r="I201" s="1">
        <v>4.5599999999999996</v>
      </c>
      <c r="J201" s="1">
        <v>34.9</v>
      </c>
    </row>
    <row r="202" spans="1:10">
      <c r="A202" s="5">
        <v>0.41</v>
      </c>
      <c r="B202" s="6">
        <v>0.13900000000000001</v>
      </c>
      <c r="C202" s="7">
        <v>1.47</v>
      </c>
      <c r="D202" s="6">
        <v>0.40300000000000002</v>
      </c>
      <c r="E202" s="1">
        <v>3</v>
      </c>
      <c r="F202" s="8">
        <v>402</v>
      </c>
      <c r="G202" s="1">
        <v>17</v>
      </c>
      <c r="H202" s="9">
        <v>7.1349999999999998</v>
      </c>
      <c r="I202" s="1">
        <v>4.45</v>
      </c>
      <c r="J202" s="1">
        <v>32.9</v>
      </c>
    </row>
    <row r="203" spans="1:10">
      <c r="A203" s="5">
        <v>1.92</v>
      </c>
      <c r="B203" s="6">
        <v>0.38400000000000001</v>
      </c>
      <c r="C203" s="7">
        <v>2.0299999999999998</v>
      </c>
      <c r="D203" s="6">
        <v>0.41499999999999998</v>
      </c>
      <c r="E203" s="1">
        <v>2</v>
      </c>
      <c r="F203" s="8">
        <v>348</v>
      </c>
      <c r="G203" s="1">
        <v>14.7</v>
      </c>
      <c r="H203" s="9">
        <v>6.1619999999999999</v>
      </c>
      <c r="I203" s="1">
        <v>7.43</v>
      </c>
      <c r="J203" s="1">
        <v>24.1</v>
      </c>
    </row>
    <row r="204" spans="1:10">
      <c r="A204" s="5">
        <v>9.3000000000000007</v>
      </c>
      <c r="B204" s="6">
        <v>0.157</v>
      </c>
      <c r="C204" s="7">
        <v>2.0299999999999998</v>
      </c>
      <c r="D204" s="6">
        <v>0.41499999999999998</v>
      </c>
      <c r="E204" s="1">
        <v>2</v>
      </c>
      <c r="F204" s="8">
        <v>348</v>
      </c>
      <c r="G204" s="1">
        <v>14.7</v>
      </c>
      <c r="H204" s="9">
        <v>7.61</v>
      </c>
      <c r="I204" s="1">
        <v>3.11</v>
      </c>
      <c r="J204" s="1">
        <v>42.3</v>
      </c>
    </row>
    <row r="205" spans="1:10">
      <c r="A205" s="5">
        <v>2.7</v>
      </c>
      <c r="B205" s="6">
        <v>0.33200000000000002</v>
      </c>
      <c r="C205" s="7">
        <v>2.68</v>
      </c>
      <c r="D205" s="6">
        <v>0.41610000000000003</v>
      </c>
      <c r="E205" s="1">
        <v>4</v>
      </c>
      <c r="F205" s="8">
        <v>224</v>
      </c>
      <c r="G205" s="1">
        <v>14.7</v>
      </c>
      <c r="H205" s="9">
        <v>7.8529999999999998</v>
      </c>
      <c r="I205" s="1">
        <v>3.81</v>
      </c>
      <c r="J205" s="1">
        <v>48.5</v>
      </c>
    </row>
    <row r="206" spans="1:10">
      <c r="A206" s="5">
        <v>9.07</v>
      </c>
      <c r="B206" s="6">
        <v>0.31900000000000001</v>
      </c>
      <c r="C206" s="7">
        <v>2.68</v>
      </c>
      <c r="D206" s="6">
        <v>0.41610000000000003</v>
      </c>
      <c r="E206" s="1">
        <v>4</v>
      </c>
      <c r="F206" s="8">
        <v>224</v>
      </c>
      <c r="G206" s="1">
        <v>14.7</v>
      </c>
      <c r="H206" s="9">
        <v>8.0340000000000007</v>
      </c>
      <c r="I206" s="1">
        <v>2.88</v>
      </c>
      <c r="J206" s="1">
        <v>50</v>
      </c>
    </row>
    <row r="207" spans="1:10">
      <c r="A207" s="5">
        <v>8.52</v>
      </c>
      <c r="B207" s="6">
        <v>0.223</v>
      </c>
      <c r="C207" s="7">
        <v>10.59</v>
      </c>
      <c r="D207" s="6">
        <v>0.48899999999999999</v>
      </c>
      <c r="E207" s="1">
        <v>4</v>
      </c>
      <c r="F207" s="8">
        <v>277</v>
      </c>
      <c r="G207" s="1">
        <v>18.600000000000001</v>
      </c>
      <c r="H207" s="9">
        <v>5.891</v>
      </c>
      <c r="I207" s="1">
        <v>10.87</v>
      </c>
      <c r="J207" s="1">
        <v>22.6</v>
      </c>
    </row>
    <row r="208" spans="1:10">
      <c r="A208" s="5">
        <v>0.04</v>
      </c>
      <c r="B208" s="6">
        <v>0.52500000000000002</v>
      </c>
      <c r="C208" s="7">
        <v>10.59</v>
      </c>
      <c r="D208" s="6">
        <v>0.48899999999999999</v>
      </c>
      <c r="E208" s="1">
        <v>4</v>
      </c>
      <c r="F208" s="8">
        <v>277</v>
      </c>
      <c r="G208" s="1">
        <v>18.600000000000001</v>
      </c>
      <c r="H208" s="9">
        <v>6.3259999999999996</v>
      </c>
      <c r="I208" s="1">
        <v>10.97</v>
      </c>
      <c r="J208" s="1">
        <v>24.4</v>
      </c>
    </row>
    <row r="209" spans="1:10">
      <c r="A209" s="5">
        <v>4.63</v>
      </c>
      <c r="B209" s="6">
        <v>0.72700000000000009</v>
      </c>
      <c r="C209" s="7">
        <v>10.59</v>
      </c>
      <c r="D209" s="6">
        <v>0.48899999999999999</v>
      </c>
      <c r="E209" s="1">
        <v>4</v>
      </c>
      <c r="F209" s="8">
        <v>277</v>
      </c>
      <c r="G209" s="1">
        <v>18.600000000000001</v>
      </c>
      <c r="H209" s="9">
        <v>5.7830000000000004</v>
      </c>
      <c r="I209" s="1">
        <v>18.059999999999999</v>
      </c>
      <c r="J209" s="1">
        <v>22.5</v>
      </c>
    </row>
    <row r="210" spans="1:10">
      <c r="A210" s="5">
        <v>9.11</v>
      </c>
      <c r="B210" s="6">
        <v>0.59100000000000008</v>
      </c>
      <c r="C210" s="7">
        <v>10.59</v>
      </c>
      <c r="D210" s="6">
        <v>0.48899999999999999</v>
      </c>
      <c r="E210" s="1">
        <v>4</v>
      </c>
      <c r="F210" s="8">
        <v>277</v>
      </c>
      <c r="G210" s="1">
        <v>18.600000000000001</v>
      </c>
      <c r="H210" s="9">
        <v>6.0640000000000001</v>
      </c>
      <c r="I210" s="1">
        <v>14.66</v>
      </c>
      <c r="J210" s="1">
        <v>24.4</v>
      </c>
    </row>
    <row r="211" spans="1:10">
      <c r="A211" s="5">
        <v>9.02</v>
      </c>
      <c r="B211" s="6">
        <v>1</v>
      </c>
      <c r="C211" s="7">
        <v>10.59</v>
      </c>
      <c r="D211" s="6">
        <v>0.48899999999999999</v>
      </c>
      <c r="E211" s="1">
        <v>4</v>
      </c>
      <c r="F211" s="8">
        <v>277</v>
      </c>
      <c r="G211" s="1">
        <v>18.600000000000001</v>
      </c>
      <c r="H211" s="9">
        <v>5.3440000000000003</v>
      </c>
      <c r="I211" s="1">
        <v>23.09</v>
      </c>
      <c r="J211" s="1">
        <v>20</v>
      </c>
    </row>
    <row r="212" spans="1:10">
      <c r="A212" s="5">
        <v>9.58</v>
      </c>
      <c r="B212" s="6">
        <v>0.92099999999999993</v>
      </c>
      <c r="C212" s="7">
        <v>10.59</v>
      </c>
      <c r="D212" s="6">
        <v>0.48899999999999999</v>
      </c>
      <c r="E212" s="1">
        <v>4</v>
      </c>
      <c r="F212" s="8">
        <v>277</v>
      </c>
      <c r="G212" s="1">
        <v>18.600000000000001</v>
      </c>
      <c r="H212" s="9">
        <v>5.96</v>
      </c>
      <c r="I212" s="1">
        <v>17.27</v>
      </c>
      <c r="J212" s="1">
        <v>21.7</v>
      </c>
    </row>
    <row r="213" spans="1:10">
      <c r="A213" s="5">
        <v>0.23</v>
      </c>
      <c r="B213" s="6">
        <v>0.88600000000000001</v>
      </c>
      <c r="C213" s="7">
        <v>10.59</v>
      </c>
      <c r="D213" s="6">
        <v>0.48899999999999999</v>
      </c>
      <c r="E213" s="1">
        <v>4</v>
      </c>
      <c r="F213" s="8">
        <v>277</v>
      </c>
      <c r="G213" s="1">
        <v>18.600000000000001</v>
      </c>
      <c r="H213" s="9">
        <v>5.4039999999999999</v>
      </c>
      <c r="I213" s="1">
        <v>23.98</v>
      </c>
      <c r="J213" s="1">
        <v>19.3</v>
      </c>
    </row>
    <row r="214" spans="1:10">
      <c r="A214" s="5">
        <v>9.31</v>
      </c>
      <c r="B214" s="6">
        <v>0.53800000000000003</v>
      </c>
      <c r="C214" s="7">
        <v>10.59</v>
      </c>
      <c r="D214" s="6">
        <v>0.48899999999999999</v>
      </c>
      <c r="E214" s="1">
        <v>4</v>
      </c>
      <c r="F214" s="8">
        <v>277</v>
      </c>
      <c r="G214" s="1">
        <v>18.600000000000001</v>
      </c>
      <c r="H214" s="9">
        <v>5.8070000000000004</v>
      </c>
      <c r="I214" s="1">
        <v>16.03</v>
      </c>
      <c r="J214" s="1">
        <v>22.4</v>
      </c>
    </row>
    <row r="215" spans="1:10">
      <c r="A215" s="5">
        <v>4.21</v>
      </c>
      <c r="B215" s="6">
        <v>0.32299999999999995</v>
      </c>
      <c r="C215" s="7">
        <v>10.59</v>
      </c>
      <c r="D215" s="6">
        <v>0.48899999999999999</v>
      </c>
      <c r="E215" s="1">
        <v>4</v>
      </c>
      <c r="F215" s="8">
        <v>277</v>
      </c>
      <c r="G215" s="1">
        <v>18.600000000000001</v>
      </c>
      <c r="H215" s="9">
        <v>6.375</v>
      </c>
      <c r="I215" s="1">
        <v>9.3800000000000008</v>
      </c>
      <c r="J215" s="1">
        <v>28.1</v>
      </c>
    </row>
    <row r="216" spans="1:10">
      <c r="A216" s="5">
        <v>3.55</v>
      </c>
      <c r="B216" s="6">
        <v>9.8000000000000004E-2</v>
      </c>
      <c r="C216" s="7">
        <v>10.59</v>
      </c>
      <c r="D216" s="6">
        <v>0.48899999999999999</v>
      </c>
      <c r="E216" s="1">
        <v>4</v>
      </c>
      <c r="F216" s="8">
        <v>277</v>
      </c>
      <c r="G216" s="1">
        <v>18.600000000000001</v>
      </c>
      <c r="H216" s="9">
        <v>5.4119999999999999</v>
      </c>
      <c r="I216" s="1">
        <v>29.55</v>
      </c>
      <c r="J216" s="1">
        <v>23.7</v>
      </c>
    </row>
    <row r="217" spans="1:10">
      <c r="A217" s="5">
        <v>3.54</v>
      </c>
      <c r="B217" s="6">
        <v>0.42399999999999999</v>
      </c>
      <c r="C217" s="7">
        <v>10.59</v>
      </c>
      <c r="D217" s="6">
        <v>0.48899999999999999</v>
      </c>
      <c r="E217" s="1">
        <v>4</v>
      </c>
      <c r="F217" s="8">
        <v>277</v>
      </c>
      <c r="G217" s="1">
        <v>18.600000000000001</v>
      </c>
      <c r="H217" s="9">
        <v>6.1820000000000004</v>
      </c>
      <c r="I217" s="1">
        <v>9.4700000000000006</v>
      </c>
      <c r="J217" s="1">
        <v>25</v>
      </c>
    </row>
    <row r="218" spans="1:10">
      <c r="A218" s="5">
        <v>9.01</v>
      </c>
      <c r="B218" s="6">
        <v>0.56000000000000005</v>
      </c>
      <c r="C218" s="7">
        <v>13.89</v>
      </c>
      <c r="D218" s="6">
        <v>0.55000000000000004</v>
      </c>
      <c r="E218" s="1">
        <v>5</v>
      </c>
      <c r="F218" s="8">
        <v>276</v>
      </c>
      <c r="G218" s="1">
        <v>16.399999999999999</v>
      </c>
      <c r="H218" s="9">
        <v>5.8879999999999999</v>
      </c>
      <c r="I218" s="1">
        <v>13.51</v>
      </c>
      <c r="J218" s="1">
        <v>23.3</v>
      </c>
    </row>
    <row r="219" spans="1:10">
      <c r="A219" s="5">
        <v>7.67</v>
      </c>
      <c r="B219" s="6">
        <v>0.85099999999999998</v>
      </c>
      <c r="C219" s="7">
        <v>13.89</v>
      </c>
      <c r="D219" s="6">
        <v>0.55000000000000004</v>
      </c>
      <c r="E219" s="1">
        <v>5</v>
      </c>
      <c r="F219" s="8">
        <v>276</v>
      </c>
      <c r="G219" s="1">
        <v>16.399999999999999</v>
      </c>
      <c r="H219" s="9">
        <v>6.6420000000000003</v>
      </c>
      <c r="I219" s="1">
        <v>9.69</v>
      </c>
      <c r="J219" s="1">
        <v>28.7</v>
      </c>
    </row>
    <row r="220" spans="1:10">
      <c r="A220" s="5">
        <v>0.13</v>
      </c>
      <c r="B220" s="6">
        <v>0.93799999999999994</v>
      </c>
      <c r="C220" s="7">
        <v>13.89</v>
      </c>
      <c r="D220" s="6">
        <v>0.55000000000000004</v>
      </c>
      <c r="E220" s="1">
        <v>5</v>
      </c>
      <c r="F220" s="8">
        <v>276</v>
      </c>
      <c r="G220" s="1">
        <v>16.399999999999999</v>
      </c>
      <c r="H220" s="9">
        <v>5.9509999999999996</v>
      </c>
      <c r="I220" s="1">
        <v>17.920000000000002</v>
      </c>
      <c r="J220" s="1">
        <v>21.5</v>
      </c>
    </row>
    <row r="221" spans="1:10">
      <c r="A221" s="5">
        <v>4.49</v>
      </c>
      <c r="B221" s="6">
        <v>0.92400000000000004</v>
      </c>
      <c r="C221" s="7">
        <v>13.89</v>
      </c>
      <c r="D221" s="6">
        <v>0.55000000000000004</v>
      </c>
      <c r="E221" s="1">
        <v>5</v>
      </c>
      <c r="F221" s="8">
        <v>276</v>
      </c>
      <c r="G221" s="1">
        <v>16.399999999999999</v>
      </c>
      <c r="H221" s="9">
        <v>6.3730000000000002</v>
      </c>
      <c r="I221" s="1">
        <v>10.5</v>
      </c>
      <c r="J221" s="1">
        <v>23</v>
      </c>
    </row>
    <row r="222" spans="1:10">
      <c r="A222" s="5">
        <v>0.81</v>
      </c>
      <c r="B222" s="6">
        <v>0.88500000000000001</v>
      </c>
      <c r="C222" s="7">
        <v>6.2</v>
      </c>
      <c r="D222" s="6">
        <v>0.50700000000000001</v>
      </c>
      <c r="E222" s="1">
        <v>8</v>
      </c>
      <c r="F222" s="8">
        <v>307</v>
      </c>
      <c r="G222" s="1">
        <v>17.399999999999999</v>
      </c>
      <c r="H222" s="9">
        <v>6.9509999999999996</v>
      </c>
      <c r="I222" s="1">
        <v>9.7100000000000009</v>
      </c>
      <c r="J222" s="1">
        <v>26.7</v>
      </c>
    </row>
    <row r="223" spans="1:10">
      <c r="A223" s="5">
        <v>4.91</v>
      </c>
      <c r="B223" s="6">
        <v>0.91300000000000003</v>
      </c>
      <c r="C223" s="7">
        <v>6.2</v>
      </c>
      <c r="D223" s="6">
        <v>0.50700000000000001</v>
      </c>
      <c r="E223" s="1">
        <v>8</v>
      </c>
      <c r="F223" s="8">
        <v>307</v>
      </c>
      <c r="G223" s="1">
        <v>17.399999999999999</v>
      </c>
      <c r="H223" s="9">
        <v>6.1639999999999997</v>
      </c>
      <c r="I223" s="1">
        <v>21.46</v>
      </c>
      <c r="J223" s="1">
        <v>21.7</v>
      </c>
    </row>
    <row r="224" spans="1:10">
      <c r="A224" s="5">
        <v>9.68</v>
      </c>
      <c r="B224" s="6">
        <v>0.77700000000000002</v>
      </c>
      <c r="C224" s="7">
        <v>6.2</v>
      </c>
      <c r="D224" s="6">
        <v>0.50700000000000001</v>
      </c>
      <c r="E224" s="1">
        <v>8</v>
      </c>
      <c r="F224" s="8">
        <v>307</v>
      </c>
      <c r="G224" s="1">
        <v>17.399999999999999</v>
      </c>
      <c r="H224" s="9">
        <v>6.8789999999999996</v>
      </c>
      <c r="I224" s="1">
        <v>9.93</v>
      </c>
      <c r="J224" s="1">
        <v>27.5</v>
      </c>
    </row>
    <row r="225" spans="1:10">
      <c r="A225" s="5">
        <v>5.76</v>
      </c>
      <c r="B225" s="6">
        <v>0.80799999999999994</v>
      </c>
      <c r="C225" s="7">
        <v>6.2</v>
      </c>
      <c r="D225" s="6">
        <v>0.50700000000000001</v>
      </c>
      <c r="E225" s="1">
        <v>8</v>
      </c>
      <c r="F225" s="8">
        <v>307</v>
      </c>
      <c r="G225" s="1">
        <v>17.399999999999999</v>
      </c>
      <c r="H225" s="9">
        <v>6.6180000000000003</v>
      </c>
      <c r="I225" s="1">
        <v>7.6</v>
      </c>
      <c r="J225" s="1">
        <v>30.1</v>
      </c>
    </row>
    <row r="226" spans="1:10">
      <c r="A226" s="5">
        <v>4.79</v>
      </c>
      <c r="B226" s="6">
        <v>0.78300000000000003</v>
      </c>
      <c r="C226" s="7">
        <v>6.2</v>
      </c>
      <c r="D226" s="6">
        <v>0.504</v>
      </c>
      <c r="E226" s="1">
        <v>8</v>
      </c>
      <c r="F226" s="8">
        <v>307</v>
      </c>
      <c r="G226" s="1">
        <v>17.399999999999999</v>
      </c>
      <c r="H226" s="9">
        <v>8.266</v>
      </c>
      <c r="I226" s="1">
        <v>4.1399999999999997</v>
      </c>
      <c r="J226" s="1">
        <v>44.8</v>
      </c>
    </row>
    <row r="227" spans="1:10">
      <c r="A227" s="5">
        <v>0.55000000000000004</v>
      </c>
      <c r="B227" s="6">
        <v>0.83000000000000007</v>
      </c>
      <c r="C227" s="7">
        <v>6.2</v>
      </c>
      <c r="D227" s="6">
        <v>0.504</v>
      </c>
      <c r="E227" s="1">
        <v>8</v>
      </c>
      <c r="F227" s="8">
        <v>307</v>
      </c>
      <c r="G227" s="1">
        <v>17.399999999999999</v>
      </c>
      <c r="H227" s="9">
        <v>8.7249999999999996</v>
      </c>
      <c r="I227" s="1">
        <v>4.63</v>
      </c>
      <c r="J227" s="1">
        <v>50</v>
      </c>
    </row>
    <row r="228" spans="1:10">
      <c r="A228" s="5">
        <v>4.0599999999999996</v>
      </c>
      <c r="B228" s="6">
        <v>0.86499999999999999</v>
      </c>
      <c r="C228" s="7">
        <v>6.2</v>
      </c>
      <c r="D228" s="6">
        <v>0.504</v>
      </c>
      <c r="E228" s="1">
        <v>8</v>
      </c>
      <c r="F228" s="8">
        <v>307</v>
      </c>
      <c r="G228" s="1">
        <v>17.399999999999999</v>
      </c>
      <c r="H228" s="9">
        <v>8.0399999999999991</v>
      </c>
      <c r="I228" s="1">
        <v>3.13</v>
      </c>
      <c r="J228" s="1">
        <v>37.6</v>
      </c>
    </row>
    <row r="229" spans="1:10">
      <c r="A229" s="5">
        <v>4.45</v>
      </c>
      <c r="B229" s="6">
        <v>0.79900000000000004</v>
      </c>
      <c r="C229" s="7">
        <v>6.2</v>
      </c>
      <c r="D229" s="6">
        <v>0.504</v>
      </c>
      <c r="E229" s="1">
        <v>8</v>
      </c>
      <c r="F229" s="8">
        <v>307</v>
      </c>
      <c r="G229" s="1">
        <v>17.399999999999999</v>
      </c>
      <c r="H229" s="9">
        <v>7.1630000000000003</v>
      </c>
      <c r="I229" s="1">
        <v>6.36</v>
      </c>
      <c r="J229" s="1">
        <v>31.6</v>
      </c>
    </row>
    <row r="230" spans="1:10">
      <c r="A230" s="5">
        <v>2.25</v>
      </c>
      <c r="B230" s="6">
        <v>0.17</v>
      </c>
      <c r="C230" s="7">
        <v>6.2</v>
      </c>
      <c r="D230" s="6">
        <v>0.504</v>
      </c>
      <c r="E230" s="1">
        <v>8</v>
      </c>
      <c r="F230" s="8">
        <v>307</v>
      </c>
      <c r="G230" s="1">
        <v>17.399999999999999</v>
      </c>
      <c r="H230" s="9">
        <v>7.6859999999999999</v>
      </c>
      <c r="I230" s="1">
        <v>3.92</v>
      </c>
      <c r="J230" s="1">
        <v>46.7</v>
      </c>
    </row>
    <row r="231" spans="1:10">
      <c r="A231" s="5">
        <v>6.63</v>
      </c>
      <c r="B231" s="6">
        <v>0.214</v>
      </c>
      <c r="C231" s="7">
        <v>6.2</v>
      </c>
      <c r="D231" s="6">
        <v>0.504</v>
      </c>
      <c r="E231" s="1">
        <v>8</v>
      </c>
      <c r="F231" s="8">
        <v>307</v>
      </c>
      <c r="G231" s="1">
        <v>17.399999999999999</v>
      </c>
      <c r="H231" s="9">
        <v>6.5519999999999996</v>
      </c>
      <c r="I231" s="1">
        <v>3.76</v>
      </c>
      <c r="J231" s="1">
        <v>31.5</v>
      </c>
    </row>
    <row r="232" spans="1:10">
      <c r="A232" s="5">
        <v>9.32</v>
      </c>
      <c r="B232" s="6">
        <v>0.68099999999999994</v>
      </c>
      <c r="C232" s="7">
        <v>6.2</v>
      </c>
      <c r="D232" s="6">
        <v>0.504</v>
      </c>
      <c r="E232" s="1">
        <v>8</v>
      </c>
      <c r="F232" s="8">
        <v>307</v>
      </c>
      <c r="G232" s="1">
        <v>17.399999999999999</v>
      </c>
      <c r="H232" s="9">
        <v>5.9809999999999999</v>
      </c>
      <c r="I232" s="1">
        <v>11.65</v>
      </c>
      <c r="J232" s="1">
        <v>24.3</v>
      </c>
    </row>
    <row r="233" spans="1:10">
      <c r="A233" s="5">
        <v>5.01</v>
      </c>
      <c r="B233" s="6">
        <v>0.76900000000000013</v>
      </c>
      <c r="C233" s="7">
        <v>6.2</v>
      </c>
      <c r="D233" s="6">
        <v>0.504</v>
      </c>
      <c r="E233" s="1">
        <v>8</v>
      </c>
      <c r="F233" s="8">
        <v>307</v>
      </c>
      <c r="G233" s="1">
        <v>17.399999999999999</v>
      </c>
      <c r="H233" s="9">
        <v>7.4119999999999999</v>
      </c>
      <c r="I233" s="1">
        <v>5.25</v>
      </c>
      <c r="J233" s="1">
        <v>31.7</v>
      </c>
    </row>
    <row r="234" spans="1:10">
      <c r="A234" s="5">
        <v>7.47</v>
      </c>
      <c r="B234" s="6">
        <v>0.73299999999999998</v>
      </c>
      <c r="C234" s="7">
        <v>6.2</v>
      </c>
      <c r="D234" s="6">
        <v>0.50700000000000001</v>
      </c>
      <c r="E234" s="1">
        <v>8</v>
      </c>
      <c r="F234" s="8">
        <v>307</v>
      </c>
      <c r="G234" s="1">
        <v>17.399999999999999</v>
      </c>
      <c r="H234" s="9">
        <v>8.3369999999999997</v>
      </c>
      <c r="I234" s="1">
        <v>2.4700000000000002</v>
      </c>
      <c r="J234" s="1">
        <v>41.7</v>
      </c>
    </row>
    <row r="235" spans="1:10">
      <c r="A235" s="5">
        <v>4.7300000000000004</v>
      </c>
      <c r="B235" s="6">
        <v>0.70400000000000007</v>
      </c>
      <c r="C235" s="7">
        <v>6.2</v>
      </c>
      <c r="D235" s="6">
        <v>0.50700000000000001</v>
      </c>
      <c r="E235" s="1">
        <v>8</v>
      </c>
      <c r="F235" s="8">
        <v>307</v>
      </c>
      <c r="G235" s="1">
        <v>17.399999999999999</v>
      </c>
      <c r="H235" s="9">
        <v>8.2469999999999999</v>
      </c>
      <c r="I235" s="1">
        <v>3.95</v>
      </c>
      <c r="J235" s="1">
        <v>48.3</v>
      </c>
    </row>
    <row r="236" spans="1:10">
      <c r="A236" s="5">
        <v>2.0499999999999998</v>
      </c>
      <c r="B236" s="6">
        <v>0.66500000000000004</v>
      </c>
      <c r="C236" s="7">
        <v>6.2</v>
      </c>
      <c r="D236" s="6">
        <v>0.50700000000000001</v>
      </c>
      <c r="E236" s="1">
        <v>8</v>
      </c>
      <c r="F236" s="8">
        <v>307</v>
      </c>
      <c r="G236" s="1">
        <v>17.399999999999999</v>
      </c>
      <c r="H236" s="9">
        <v>6.726</v>
      </c>
      <c r="I236" s="1">
        <v>8.0500000000000007</v>
      </c>
      <c r="J236" s="1">
        <v>29</v>
      </c>
    </row>
    <row r="237" spans="1:10">
      <c r="A237" s="5">
        <v>7.65</v>
      </c>
      <c r="B237" s="6">
        <v>0.61499999999999999</v>
      </c>
      <c r="C237" s="7">
        <v>6.2</v>
      </c>
      <c r="D237" s="6">
        <v>0.50700000000000001</v>
      </c>
      <c r="E237" s="1">
        <v>8</v>
      </c>
      <c r="F237" s="8">
        <v>307</v>
      </c>
      <c r="G237" s="1">
        <v>17.399999999999999</v>
      </c>
      <c r="H237" s="9">
        <v>6.0860000000000003</v>
      </c>
      <c r="I237" s="1">
        <v>10.88</v>
      </c>
      <c r="J237" s="1">
        <v>24</v>
      </c>
    </row>
    <row r="238" spans="1:10">
      <c r="A238" s="5">
        <v>6.74</v>
      </c>
      <c r="B238" s="6">
        <v>0.76500000000000001</v>
      </c>
      <c r="C238" s="7">
        <v>6.2</v>
      </c>
      <c r="D238" s="6">
        <v>0.50700000000000001</v>
      </c>
      <c r="E238" s="1">
        <v>8</v>
      </c>
      <c r="F238" s="8">
        <v>307</v>
      </c>
      <c r="G238" s="1">
        <v>17.399999999999999</v>
      </c>
      <c r="H238" s="9">
        <v>6.6310000000000002</v>
      </c>
      <c r="I238" s="1">
        <v>9.5399999999999991</v>
      </c>
      <c r="J238" s="1">
        <v>25.1</v>
      </c>
    </row>
    <row r="239" spans="1:10">
      <c r="A239" s="5">
        <v>7.28</v>
      </c>
      <c r="B239" s="6">
        <v>0.71599999999999997</v>
      </c>
      <c r="C239" s="7">
        <v>6.2</v>
      </c>
      <c r="D239" s="6">
        <v>0.50700000000000001</v>
      </c>
      <c r="E239" s="1">
        <v>8</v>
      </c>
      <c r="F239" s="8">
        <v>307</v>
      </c>
      <c r="G239" s="1">
        <v>17.399999999999999</v>
      </c>
      <c r="H239" s="9">
        <v>7.3579999999999997</v>
      </c>
      <c r="I239" s="1">
        <v>4.7300000000000004</v>
      </c>
      <c r="J239" s="1">
        <v>31.5</v>
      </c>
    </row>
    <row r="240" spans="1:10">
      <c r="A240" s="5">
        <v>6.13</v>
      </c>
      <c r="B240" s="6">
        <v>0.185</v>
      </c>
      <c r="C240" s="7">
        <v>4.93</v>
      </c>
      <c r="D240" s="6">
        <v>0.42799999999999999</v>
      </c>
      <c r="E240" s="1">
        <v>6</v>
      </c>
      <c r="F240" s="8">
        <v>300</v>
      </c>
      <c r="G240" s="1">
        <v>16.600000000000001</v>
      </c>
      <c r="H240" s="9">
        <v>6.4809999999999999</v>
      </c>
      <c r="I240" s="1">
        <v>6.36</v>
      </c>
      <c r="J240" s="1">
        <v>23.7</v>
      </c>
    </row>
    <row r="241" spans="1:10">
      <c r="A241" s="5">
        <v>2.58</v>
      </c>
      <c r="B241" s="6">
        <v>0.42200000000000004</v>
      </c>
      <c r="C241" s="7">
        <v>4.93</v>
      </c>
      <c r="D241" s="6">
        <v>0.42799999999999999</v>
      </c>
      <c r="E241" s="1">
        <v>6</v>
      </c>
      <c r="F241" s="8">
        <v>300</v>
      </c>
      <c r="G241" s="1">
        <v>16.600000000000001</v>
      </c>
      <c r="H241" s="9">
        <v>6.6059999999999999</v>
      </c>
      <c r="I241" s="1">
        <v>7.37</v>
      </c>
      <c r="J241" s="1">
        <v>23.3</v>
      </c>
    </row>
    <row r="242" spans="1:10">
      <c r="A242" s="5">
        <v>6.93</v>
      </c>
      <c r="B242" s="6">
        <v>0.54300000000000004</v>
      </c>
      <c r="C242" s="7">
        <v>4.93</v>
      </c>
      <c r="D242" s="6">
        <v>0.42799999999999999</v>
      </c>
      <c r="E242" s="1">
        <v>6</v>
      </c>
      <c r="F242" s="8">
        <v>300</v>
      </c>
      <c r="G242" s="1">
        <v>16.600000000000001</v>
      </c>
      <c r="H242" s="9">
        <v>6.8970000000000002</v>
      </c>
      <c r="I242" s="1">
        <v>11.38</v>
      </c>
      <c r="J242" s="1">
        <v>22</v>
      </c>
    </row>
    <row r="243" spans="1:10">
      <c r="A243" s="5">
        <v>7.25</v>
      </c>
      <c r="B243" s="6">
        <v>0.65099999999999991</v>
      </c>
      <c r="C243" s="7">
        <v>4.93</v>
      </c>
      <c r="D243" s="6">
        <v>0.42799999999999999</v>
      </c>
      <c r="E243" s="1">
        <v>6</v>
      </c>
      <c r="F243" s="8">
        <v>300</v>
      </c>
      <c r="G243" s="1">
        <v>16.600000000000001</v>
      </c>
      <c r="H243" s="9">
        <v>6.0949999999999998</v>
      </c>
      <c r="I243" s="1">
        <v>12.4</v>
      </c>
      <c r="J243" s="1">
        <v>20.100000000000001</v>
      </c>
    </row>
    <row r="244" spans="1:10">
      <c r="A244" s="5">
        <v>4.3499999999999996</v>
      </c>
      <c r="B244" s="6">
        <v>0.52900000000000003</v>
      </c>
      <c r="C244" s="7">
        <v>4.93</v>
      </c>
      <c r="D244" s="6">
        <v>0.42799999999999999</v>
      </c>
      <c r="E244" s="1">
        <v>6</v>
      </c>
      <c r="F244" s="8">
        <v>300</v>
      </c>
      <c r="G244" s="1">
        <v>16.600000000000001</v>
      </c>
      <c r="H244" s="9">
        <v>6.3579999999999997</v>
      </c>
      <c r="I244" s="1">
        <v>11.22</v>
      </c>
      <c r="J244" s="1">
        <v>22.2</v>
      </c>
    </row>
    <row r="245" spans="1:10">
      <c r="A245" s="5">
        <v>5.26</v>
      </c>
      <c r="B245" s="6">
        <v>7.8E-2</v>
      </c>
      <c r="C245" s="7">
        <v>4.93</v>
      </c>
      <c r="D245" s="6">
        <v>0.42799999999999999</v>
      </c>
      <c r="E245" s="1">
        <v>6</v>
      </c>
      <c r="F245" s="8">
        <v>300</v>
      </c>
      <c r="G245" s="1">
        <v>16.600000000000001</v>
      </c>
      <c r="H245" s="9">
        <v>6.3929999999999998</v>
      </c>
      <c r="I245" s="1">
        <v>5.19</v>
      </c>
      <c r="J245" s="1">
        <v>23.7</v>
      </c>
    </row>
    <row r="246" spans="1:10">
      <c r="A246" s="5">
        <v>3.64</v>
      </c>
      <c r="B246" s="6">
        <v>0.76500000000000001</v>
      </c>
      <c r="C246" s="7">
        <v>5.86</v>
      </c>
      <c r="D246" s="6">
        <v>0.43099999999999999</v>
      </c>
      <c r="E246" s="1">
        <v>7</v>
      </c>
      <c r="F246" s="8">
        <v>330</v>
      </c>
      <c r="G246" s="1">
        <v>19.100000000000001</v>
      </c>
      <c r="H246" s="9">
        <v>5.593</v>
      </c>
      <c r="I246" s="1">
        <v>12.5</v>
      </c>
      <c r="J246" s="1">
        <v>17.600000000000001</v>
      </c>
    </row>
    <row r="247" spans="1:10">
      <c r="A247" s="5">
        <v>5.47</v>
      </c>
      <c r="B247" s="6">
        <v>0.70200000000000007</v>
      </c>
      <c r="C247" s="7">
        <v>5.86</v>
      </c>
      <c r="D247" s="6">
        <v>0.43099999999999999</v>
      </c>
      <c r="E247" s="1">
        <v>7</v>
      </c>
      <c r="F247" s="8">
        <v>330</v>
      </c>
      <c r="G247" s="1">
        <v>19.100000000000001</v>
      </c>
      <c r="H247" s="9">
        <v>5.6050000000000004</v>
      </c>
      <c r="I247" s="1">
        <v>18.46</v>
      </c>
      <c r="J247" s="1">
        <v>18.5</v>
      </c>
    </row>
    <row r="248" spans="1:10">
      <c r="A248" s="5">
        <v>4.29</v>
      </c>
      <c r="B248" s="6">
        <v>0.34899999999999998</v>
      </c>
      <c r="C248" s="7">
        <v>5.86</v>
      </c>
      <c r="D248" s="6">
        <v>0.43099999999999999</v>
      </c>
      <c r="E248" s="1">
        <v>7</v>
      </c>
      <c r="F248" s="8">
        <v>330</v>
      </c>
      <c r="G248" s="1">
        <v>19.100000000000001</v>
      </c>
      <c r="H248" s="9">
        <v>6.1079999999999997</v>
      </c>
      <c r="I248" s="1">
        <v>9.16</v>
      </c>
      <c r="J248" s="1">
        <v>24.3</v>
      </c>
    </row>
    <row r="249" spans="1:10">
      <c r="A249" s="5">
        <v>2.48</v>
      </c>
      <c r="B249" s="6">
        <v>0.79200000000000004</v>
      </c>
      <c r="C249" s="7">
        <v>5.86</v>
      </c>
      <c r="D249" s="6">
        <v>0.43099999999999999</v>
      </c>
      <c r="E249" s="1">
        <v>7</v>
      </c>
      <c r="F249" s="8">
        <v>330</v>
      </c>
      <c r="G249" s="1">
        <v>19.100000000000001</v>
      </c>
      <c r="H249" s="9">
        <v>6.226</v>
      </c>
      <c r="I249" s="1">
        <v>10.15</v>
      </c>
      <c r="J249" s="1">
        <v>20.5</v>
      </c>
    </row>
    <row r="250" spans="1:10">
      <c r="A250" s="5">
        <v>0.69</v>
      </c>
      <c r="B250" s="6">
        <v>0.49100000000000005</v>
      </c>
      <c r="C250" s="7">
        <v>5.86</v>
      </c>
      <c r="D250" s="6">
        <v>0.43099999999999999</v>
      </c>
      <c r="E250" s="1">
        <v>7</v>
      </c>
      <c r="F250" s="8">
        <v>330</v>
      </c>
      <c r="G250" s="1">
        <v>19.100000000000001</v>
      </c>
      <c r="H250" s="9">
        <v>6.4329999999999998</v>
      </c>
      <c r="I250" s="1">
        <v>9.52</v>
      </c>
      <c r="J250" s="1">
        <v>24.5</v>
      </c>
    </row>
    <row r="251" spans="1:10">
      <c r="A251" s="5">
        <v>2.88</v>
      </c>
      <c r="B251" s="6">
        <v>0.17500000000000002</v>
      </c>
      <c r="C251" s="7">
        <v>5.86</v>
      </c>
      <c r="D251" s="6">
        <v>0.43099999999999999</v>
      </c>
      <c r="E251" s="1">
        <v>7</v>
      </c>
      <c r="F251" s="8">
        <v>330</v>
      </c>
      <c r="G251" s="1">
        <v>19.100000000000001</v>
      </c>
      <c r="H251" s="9">
        <v>6.718</v>
      </c>
      <c r="I251" s="1">
        <v>6.56</v>
      </c>
      <c r="J251" s="1">
        <v>26.2</v>
      </c>
    </row>
    <row r="252" spans="1:10">
      <c r="A252" s="5">
        <v>9.07</v>
      </c>
      <c r="B252" s="6">
        <v>0.13</v>
      </c>
      <c r="C252" s="7">
        <v>5.86</v>
      </c>
      <c r="D252" s="6">
        <v>0.43099999999999999</v>
      </c>
      <c r="E252" s="1">
        <v>7</v>
      </c>
      <c r="F252" s="8">
        <v>330</v>
      </c>
      <c r="G252" s="1">
        <v>19.100000000000001</v>
      </c>
      <c r="H252" s="9">
        <v>6.4870000000000001</v>
      </c>
      <c r="I252" s="1">
        <v>5.9</v>
      </c>
      <c r="J252" s="1">
        <v>24.4</v>
      </c>
    </row>
    <row r="253" spans="1:10">
      <c r="A253" s="5">
        <v>7.57</v>
      </c>
      <c r="B253" s="6">
        <v>8.900000000000001E-2</v>
      </c>
      <c r="C253" s="7">
        <v>5.86</v>
      </c>
      <c r="D253" s="6">
        <v>0.43099999999999999</v>
      </c>
      <c r="E253" s="1">
        <v>7</v>
      </c>
      <c r="F253" s="8">
        <v>330</v>
      </c>
      <c r="G253" s="1">
        <v>19.100000000000001</v>
      </c>
      <c r="H253" s="9">
        <v>6.4379999999999997</v>
      </c>
      <c r="I253" s="1">
        <v>3.59</v>
      </c>
      <c r="J253" s="1">
        <v>24.8</v>
      </c>
    </row>
    <row r="254" spans="1:10">
      <c r="A254" s="5">
        <v>7.52</v>
      </c>
      <c r="B254" s="6">
        <v>6.8000000000000005E-2</v>
      </c>
      <c r="C254" s="7">
        <v>5.86</v>
      </c>
      <c r="D254" s="6">
        <v>0.43099999999999999</v>
      </c>
      <c r="E254" s="1">
        <v>7</v>
      </c>
      <c r="F254" s="8">
        <v>330</v>
      </c>
      <c r="G254" s="1">
        <v>19.100000000000001</v>
      </c>
      <c r="H254" s="9">
        <v>6.9569999999999999</v>
      </c>
      <c r="I254" s="1">
        <v>3.53</v>
      </c>
      <c r="J254" s="1">
        <v>29.6</v>
      </c>
    </row>
    <row r="255" spans="1:10">
      <c r="A255" s="5">
        <v>8.49</v>
      </c>
      <c r="B255" s="6">
        <v>8.4000000000000005E-2</v>
      </c>
      <c r="C255" s="7">
        <v>5.86</v>
      </c>
      <c r="D255" s="6">
        <v>0.43099999999999999</v>
      </c>
      <c r="E255" s="1">
        <v>7</v>
      </c>
      <c r="F255" s="8">
        <v>330</v>
      </c>
      <c r="G255" s="1">
        <v>19.100000000000001</v>
      </c>
      <c r="H255" s="9">
        <v>8.2590000000000003</v>
      </c>
      <c r="I255" s="1">
        <v>3.54</v>
      </c>
      <c r="J255" s="1">
        <v>42.8</v>
      </c>
    </row>
    <row r="256" spans="1:10">
      <c r="A256" s="5">
        <v>6.19</v>
      </c>
      <c r="B256" s="6">
        <v>0.32</v>
      </c>
      <c r="C256" s="7">
        <v>3.64</v>
      </c>
      <c r="D256" s="6">
        <v>0.39200000000000002</v>
      </c>
      <c r="E256" s="1">
        <v>1</v>
      </c>
      <c r="F256" s="8">
        <v>315</v>
      </c>
      <c r="G256" s="1">
        <v>16.399999999999999</v>
      </c>
      <c r="H256" s="9">
        <v>6.1079999999999997</v>
      </c>
      <c r="I256" s="1">
        <v>6.57</v>
      </c>
      <c r="J256" s="1">
        <v>21.9</v>
      </c>
    </row>
    <row r="257" spans="1:10">
      <c r="A257" s="5">
        <v>2.5</v>
      </c>
      <c r="B257" s="6">
        <v>0.19100000000000003</v>
      </c>
      <c r="C257" s="7">
        <v>3.64</v>
      </c>
      <c r="D257" s="6">
        <v>0.39200000000000002</v>
      </c>
      <c r="E257" s="1">
        <v>1</v>
      </c>
      <c r="F257" s="8">
        <v>315</v>
      </c>
      <c r="G257" s="1">
        <v>16.399999999999999</v>
      </c>
      <c r="H257" s="9">
        <v>5.8760000000000003</v>
      </c>
      <c r="I257" s="1">
        <v>9.25</v>
      </c>
      <c r="J257" s="1">
        <v>20.9</v>
      </c>
    </row>
    <row r="258" spans="1:10">
      <c r="A258" s="5">
        <v>4.1399999999999997</v>
      </c>
      <c r="B258" s="6">
        <v>0.34200000000000003</v>
      </c>
      <c r="C258" s="7">
        <v>3.75</v>
      </c>
      <c r="D258" s="6">
        <v>0.39400000000000002</v>
      </c>
      <c r="E258" s="1">
        <v>3</v>
      </c>
      <c r="F258" s="8">
        <v>244</v>
      </c>
      <c r="G258" s="1">
        <v>15.9</v>
      </c>
      <c r="H258" s="9">
        <v>7.4539999999999997</v>
      </c>
      <c r="I258" s="1">
        <v>3.11</v>
      </c>
      <c r="J258" s="1">
        <v>44</v>
      </c>
    </row>
    <row r="259" spans="1:10">
      <c r="A259" s="5">
        <v>4.5999999999999996</v>
      </c>
      <c r="B259" s="6">
        <v>0.86900000000000011</v>
      </c>
      <c r="C259" s="7">
        <v>3.97</v>
      </c>
      <c r="D259" s="6">
        <v>0.64700000000000002</v>
      </c>
      <c r="E259" s="1">
        <v>5</v>
      </c>
      <c r="F259" s="8">
        <v>264</v>
      </c>
      <c r="G259" s="1">
        <v>13</v>
      </c>
      <c r="H259" s="9">
        <v>8.7040000000000006</v>
      </c>
      <c r="I259" s="1">
        <v>5.12</v>
      </c>
      <c r="J259" s="1">
        <v>50</v>
      </c>
    </row>
    <row r="260" spans="1:10">
      <c r="A260" s="5">
        <v>0.12</v>
      </c>
      <c r="B260" s="6">
        <v>1</v>
      </c>
      <c r="C260" s="7">
        <v>3.97</v>
      </c>
      <c r="D260" s="6">
        <v>0.64700000000000002</v>
      </c>
      <c r="E260" s="1">
        <v>5</v>
      </c>
      <c r="F260" s="8">
        <v>264</v>
      </c>
      <c r="G260" s="1">
        <v>13</v>
      </c>
      <c r="H260" s="9">
        <v>7.3330000000000002</v>
      </c>
      <c r="I260" s="1">
        <v>7.79</v>
      </c>
      <c r="J260" s="1">
        <v>36</v>
      </c>
    </row>
    <row r="261" spans="1:10">
      <c r="A261" s="5">
        <v>4.74</v>
      </c>
      <c r="B261" s="6">
        <v>1</v>
      </c>
      <c r="C261" s="7">
        <v>3.97</v>
      </c>
      <c r="D261" s="6">
        <v>0.64700000000000002</v>
      </c>
      <c r="E261" s="1">
        <v>5</v>
      </c>
      <c r="F261" s="8">
        <v>264</v>
      </c>
      <c r="G261" s="1">
        <v>13</v>
      </c>
      <c r="H261" s="9">
        <v>6.8419999999999996</v>
      </c>
      <c r="I261" s="1">
        <v>6.9</v>
      </c>
      <c r="J261" s="1">
        <v>30.1</v>
      </c>
    </row>
    <row r="262" spans="1:10">
      <c r="A262" s="5">
        <v>6.51</v>
      </c>
      <c r="B262" s="6">
        <v>0.81799999999999995</v>
      </c>
      <c r="C262" s="7">
        <v>3.97</v>
      </c>
      <c r="D262" s="6">
        <v>0.64700000000000002</v>
      </c>
      <c r="E262" s="1">
        <v>5</v>
      </c>
      <c r="F262" s="8">
        <v>264</v>
      </c>
      <c r="G262" s="1">
        <v>13</v>
      </c>
      <c r="H262" s="9">
        <v>7.2030000000000003</v>
      </c>
      <c r="I262" s="1">
        <v>9.59</v>
      </c>
      <c r="J262" s="1">
        <v>33.799999999999997</v>
      </c>
    </row>
    <row r="263" spans="1:10">
      <c r="A263" s="5">
        <v>1.36</v>
      </c>
      <c r="B263" s="6">
        <v>0.89400000000000013</v>
      </c>
      <c r="C263" s="7">
        <v>3.97</v>
      </c>
      <c r="D263" s="6">
        <v>0.64700000000000002</v>
      </c>
      <c r="E263" s="1">
        <v>5</v>
      </c>
      <c r="F263" s="8">
        <v>264</v>
      </c>
      <c r="G263" s="1">
        <v>13</v>
      </c>
      <c r="H263" s="9">
        <v>7.52</v>
      </c>
      <c r="I263" s="1">
        <v>7.26</v>
      </c>
      <c r="J263" s="1">
        <v>43.1</v>
      </c>
    </row>
    <row r="264" spans="1:10">
      <c r="A264" s="5">
        <v>3.63</v>
      </c>
      <c r="B264" s="6">
        <v>0.91500000000000004</v>
      </c>
      <c r="C264" s="7">
        <v>3.97</v>
      </c>
      <c r="D264" s="6">
        <v>0.64700000000000002</v>
      </c>
      <c r="E264" s="1">
        <v>5</v>
      </c>
      <c r="F264" s="8">
        <v>264</v>
      </c>
      <c r="G264" s="1">
        <v>13</v>
      </c>
      <c r="H264" s="9">
        <v>8.3979999999999997</v>
      </c>
      <c r="I264" s="1">
        <v>5.91</v>
      </c>
      <c r="J264" s="1">
        <v>48.8</v>
      </c>
    </row>
    <row r="265" spans="1:10">
      <c r="A265" s="5">
        <v>3.22</v>
      </c>
      <c r="B265" s="6">
        <v>0.94500000000000006</v>
      </c>
      <c r="C265" s="7">
        <v>3.97</v>
      </c>
      <c r="D265" s="6">
        <v>0.64700000000000002</v>
      </c>
      <c r="E265" s="1">
        <v>5</v>
      </c>
      <c r="F265" s="8">
        <v>264</v>
      </c>
      <c r="G265" s="1">
        <v>13</v>
      </c>
      <c r="H265" s="9">
        <v>7.327</v>
      </c>
      <c r="I265" s="1">
        <v>11.25</v>
      </c>
      <c r="J265" s="1">
        <v>31</v>
      </c>
    </row>
    <row r="266" spans="1:10">
      <c r="A266" s="5">
        <v>7.15</v>
      </c>
      <c r="B266" s="6">
        <v>0.91599999999999993</v>
      </c>
      <c r="C266" s="7">
        <v>3.97</v>
      </c>
      <c r="D266" s="6">
        <v>0.64700000000000002</v>
      </c>
      <c r="E266" s="1">
        <v>5</v>
      </c>
      <c r="F266" s="8">
        <v>264</v>
      </c>
      <c r="G266" s="1">
        <v>13</v>
      </c>
      <c r="H266" s="9">
        <v>7.2060000000000004</v>
      </c>
      <c r="I266" s="1">
        <v>8.1</v>
      </c>
      <c r="J266" s="1">
        <v>36.5</v>
      </c>
    </row>
    <row r="267" spans="1:10">
      <c r="A267" s="5">
        <v>5.75</v>
      </c>
      <c r="B267" s="6">
        <v>0.628</v>
      </c>
      <c r="C267" s="7">
        <v>3.97</v>
      </c>
      <c r="D267" s="6">
        <v>0.64700000000000002</v>
      </c>
      <c r="E267" s="1">
        <v>5</v>
      </c>
      <c r="F267" s="8">
        <v>264</v>
      </c>
      <c r="G267" s="1">
        <v>13</v>
      </c>
      <c r="H267" s="9">
        <v>5.56</v>
      </c>
      <c r="I267" s="1">
        <v>10.45</v>
      </c>
      <c r="J267" s="1">
        <v>22.8</v>
      </c>
    </row>
    <row r="268" spans="1:10">
      <c r="A268" s="5">
        <v>3.44</v>
      </c>
      <c r="B268" s="6">
        <v>0.84599999999999997</v>
      </c>
      <c r="C268" s="7">
        <v>3.97</v>
      </c>
      <c r="D268" s="6">
        <v>0.64700000000000002</v>
      </c>
      <c r="E268" s="1">
        <v>5</v>
      </c>
      <c r="F268" s="8">
        <v>264</v>
      </c>
      <c r="G268" s="1">
        <v>13</v>
      </c>
      <c r="H268" s="9">
        <v>7.0140000000000002</v>
      </c>
      <c r="I268" s="1">
        <v>14.79</v>
      </c>
      <c r="J268" s="1">
        <v>30.7</v>
      </c>
    </row>
    <row r="269" spans="1:10">
      <c r="A269" s="5">
        <v>6.3</v>
      </c>
      <c r="B269" s="6">
        <v>0.67</v>
      </c>
      <c r="C269" s="7">
        <v>3.97</v>
      </c>
      <c r="D269" s="6">
        <v>0.57499999999999996</v>
      </c>
      <c r="E269" s="1">
        <v>5</v>
      </c>
      <c r="F269" s="8">
        <v>264</v>
      </c>
      <c r="G269" s="1">
        <v>13</v>
      </c>
      <c r="H269" s="9">
        <v>8.2970000000000006</v>
      </c>
      <c r="I269" s="1">
        <v>7.44</v>
      </c>
      <c r="J269" s="1">
        <v>50</v>
      </c>
    </row>
    <row r="270" spans="1:10">
      <c r="A270" s="5">
        <v>1.47</v>
      </c>
      <c r="B270" s="6">
        <v>0.52600000000000002</v>
      </c>
      <c r="C270" s="7">
        <v>3.97</v>
      </c>
      <c r="D270" s="6">
        <v>0.57499999999999996</v>
      </c>
      <c r="E270" s="1">
        <v>5</v>
      </c>
      <c r="F270" s="8">
        <v>264</v>
      </c>
      <c r="G270" s="1">
        <v>13</v>
      </c>
      <c r="H270" s="9">
        <v>7.47</v>
      </c>
      <c r="I270" s="1">
        <v>3.16</v>
      </c>
      <c r="J270" s="1">
        <v>43.5</v>
      </c>
    </row>
    <row r="271" spans="1:10">
      <c r="A271" s="5">
        <v>8.23</v>
      </c>
      <c r="B271" s="6">
        <v>0.61499999999999999</v>
      </c>
      <c r="C271" s="7">
        <v>6.96</v>
      </c>
      <c r="D271" s="6">
        <v>0.46400000000000002</v>
      </c>
      <c r="E271" s="1">
        <v>3</v>
      </c>
      <c r="F271" s="8">
        <v>223</v>
      </c>
      <c r="G271" s="1">
        <v>18.600000000000001</v>
      </c>
      <c r="H271" s="9">
        <v>5.92</v>
      </c>
      <c r="I271" s="1">
        <v>13.65</v>
      </c>
      <c r="J271" s="1">
        <v>20.7</v>
      </c>
    </row>
    <row r="272" spans="1:10">
      <c r="A272" s="5">
        <v>1.83</v>
      </c>
      <c r="B272" s="6">
        <v>0.42100000000000004</v>
      </c>
      <c r="C272" s="7">
        <v>6.96</v>
      </c>
      <c r="D272" s="6">
        <v>0.46400000000000002</v>
      </c>
      <c r="E272" s="1">
        <v>3</v>
      </c>
      <c r="F272" s="8">
        <v>223</v>
      </c>
      <c r="G272" s="1">
        <v>18.600000000000001</v>
      </c>
      <c r="H272" s="9">
        <v>5.8559999999999999</v>
      </c>
      <c r="I272" s="1">
        <v>13</v>
      </c>
      <c r="J272" s="1">
        <v>21.1</v>
      </c>
    </row>
    <row r="273" spans="1:10">
      <c r="A273" s="5">
        <v>9.64</v>
      </c>
      <c r="B273" s="6">
        <v>0.16300000000000001</v>
      </c>
      <c r="C273" s="7">
        <v>6.96</v>
      </c>
      <c r="D273" s="6">
        <v>0.46400000000000002</v>
      </c>
      <c r="E273" s="1">
        <v>3</v>
      </c>
      <c r="F273" s="8">
        <v>223</v>
      </c>
      <c r="G273" s="1">
        <v>18.600000000000001</v>
      </c>
      <c r="H273" s="9">
        <v>6.24</v>
      </c>
      <c r="I273" s="1">
        <v>6.59</v>
      </c>
      <c r="J273" s="1">
        <v>25.2</v>
      </c>
    </row>
    <row r="274" spans="1:10">
      <c r="A274" s="5">
        <v>7.4</v>
      </c>
      <c r="B274" s="6">
        <v>0.58700000000000008</v>
      </c>
      <c r="C274" s="7">
        <v>6.96</v>
      </c>
      <c r="D274" s="6">
        <v>0.46400000000000002</v>
      </c>
      <c r="E274" s="1">
        <v>3</v>
      </c>
      <c r="F274" s="8">
        <v>223</v>
      </c>
      <c r="G274" s="1">
        <v>18.600000000000001</v>
      </c>
      <c r="H274" s="9">
        <v>6.5380000000000003</v>
      </c>
      <c r="I274" s="1">
        <v>7.73</v>
      </c>
      <c r="J274" s="1">
        <v>24.4</v>
      </c>
    </row>
    <row r="275" spans="1:10">
      <c r="A275" s="5">
        <v>7.34</v>
      </c>
      <c r="B275" s="6">
        <v>0.51800000000000002</v>
      </c>
      <c r="C275" s="7">
        <v>6.96</v>
      </c>
      <c r="D275" s="6">
        <v>0.46400000000000002</v>
      </c>
      <c r="E275" s="1">
        <v>3</v>
      </c>
      <c r="F275" s="8">
        <v>223</v>
      </c>
      <c r="G275" s="1">
        <v>18.600000000000001</v>
      </c>
      <c r="H275" s="9">
        <v>7.6909999999999998</v>
      </c>
      <c r="I275" s="1">
        <v>6.58</v>
      </c>
      <c r="J275" s="1">
        <v>35.200000000000003</v>
      </c>
    </row>
    <row r="276" spans="1:10">
      <c r="A276" s="5">
        <v>0.33</v>
      </c>
      <c r="B276" s="6">
        <v>0.32900000000000001</v>
      </c>
      <c r="C276" s="7">
        <v>6.41</v>
      </c>
      <c r="D276" s="6">
        <v>0.44700000000000001</v>
      </c>
      <c r="E276" s="1">
        <v>4</v>
      </c>
      <c r="F276" s="8">
        <v>254</v>
      </c>
      <c r="G276" s="1">
        <v>17.600000000000001</v>
      </c>
      <c r="H276" s="9">
        <v>6.758</v>
      </c>
      <c r="I276" s="1">
        <v>3.53</v>
      </c>
      <c r="J276" s="1">
        <v>32.4</v>
      </c>
    </row>
    <row r="277" spans="1:10">
      <c r="A277" s="5">
        <v>8.7899999999999991</v>
      </c>
      <c r="B277" s="6">
        <v>0.42799999999999999</v>
      </c>
      <c r="C277" s="7">
        <v>6.41</v>
      </c>
      <c r="D277" s="6">
        <v>0.44700000000000001</v>
      </c>
      <c r="E277" s="1">
        <v>4</v>
      </c>
      <c r="F277" s="8">
        <v>254</v>
      </c>
      <c r="G277" s="1">
        <v>17.600000000000001</v>
      </c>
      <c r="H277" s="9">
        <v>6.8540000000000001</v>
      </c>
      <c r="I277" s="1">
        <v>2.98</v>
      </c>
      <c r="J277" s="1">
        <v>32</v>
      </c>
    </row>
    <row r="278" spans="1:10">
      <c r="A278" s="5">
        <v>9.35</v>
      </c>
      <c r="B278" s="6">
        <v>0.49</v>
      </c>
      <c r="C278" s="7">
        <v>6.41</v>
      </c>
      <c r="D278" s="6">
        <v>0.44700000000000001</v>
      </c>
      <c r="E278" s="1">
        <v>4</v>
      </c>
      <c r="F278" s="8">
        <v>254</v>
      </c>
      <c r="G278" s="1">
        <v>17.600000000000001</v>
      </c>
      <c r="H278" s="9">
        <v>7.2670000000000003</v>
      </c>
      <c r="I278" s="1">
        <v>6.05</v>
      </c>
      <c r="J278" s="1">
        <v>33.200000000000003</v>
      </c>
    </row>
    <row r="279" spans="1:10">
      <c r="A279" s="5">
        <v>8.7100000000000009</v>
      </c>
      <c r="B279" s="6">
        <v>0.27600000000000002</v>
      </c>
      <c r="C279" s="7">
        <v>6.41</v>
      </c>
      <c r="D279" s="6">
        <v>0.44700000000000001</v>
      </c>
      <c r="E279" s="1">
        <v>4</v>
      </c>
      <c r="F279" s="8">
        <v>254</v>
      </c>
      <c r="G279" s="1">
        <v>17.600000000000001</v>
      </c>
      <c r="H279" s="9">
        <v>6.8259999999999996</v>
      </c>
      <c r="I279" s="1">
        <v>4.16</v>
      </c>
      <c r="J279" s="1">
        <v>33.1</v>
      </c>
    </row>
    <row r="280" spans="1:10">
      <c r="A280" s="5">
        <v>0.11</v>
      </c>
      <c r="B280" s="6">
        <v>0.32100000000000001</v>
      </c>
      <c r="C280" s="7">
        <v>6.41</v>
      </c>
      <c r="D280" s="6">
        <v>0.44700000000000001</v>
      </c>
      <c r="E280" s="1">
        <v>4</v>
      </c>
      <c r="F280" s="8">
        <v>254</v>
      </c>
      <c r="G280" s="1">
        <v>17.600000000000001</v>
      </c>
      <c r="H280" s="9">
        <v>6.4820000000000002</v>
      </c>
      <c r="I280" s="1">
        <v>7.19</v>
      </c>
      <c r="J280" s="1">
        <v>29.1</v>
      </c>
    </row>
    <row r="281" spans="1:10">
      <c r="A281" s="5">
        <v>4.1100000000000003</v>
      </c>
      <c r="B281" s="6">
        <v>0.32200000000000001</v>
      </c>
      <c r="C281" s="7">
        <v>3.33</v>
      </c>
      <c r="D281" s="6">
        <v>0.44290000000000002</v>
      </c>
      <c r="E281" s="1">
        <v>5</v>
      </c>
      <c r="F281" s="8">
        <v>216</v>
      </c>
      <c r="G281" s="1">
        <v>14.9</v>
      </c>
      <c r="H281" s="9">
        <v>6.8120000000000003</v>
      </c>
      <c r="I281" s="1">
        <v>4.8499999999999996</v>
      </c>
      <c r="J281" s="1">
        <v>35.1</v>
      </c>
    </row>
    <row r="282" spans="1:10">
      <c r="A282" s="5">
        <v>5.53</v>
      </c>
      <c r="B282" s="6">
        <v>0.64500000000000002</v>
      </c>
      <c r="C282" s="7">
        <v>3.33</v>
      </c>
      <c r="D282" s="6">
        <v>0.44290000000000002</v>
      </c>
      <c r="E282" s="1">
        <v>5</v>
      </c>
      <c r="F282" s="8">
        <v>216</v>
      </c>
      <c r="G282" s="1">
        <v>14.9</v>
      </c>
      <c r="H282" s="9">
        <v>7.82</v>
      </c>
      <c r="I282" s="1">
        <v>3.76</v>
      </c>
      <c r="J282" s="1">
        <v>45.4</v>
      </c>
    </row>
    <row r="283" spans="1:10">
      <c r="A283" s="5">
        <v>7.79</v>
      </c>
      <c r="B283" s="6">
        <v>0.37200000000000005</v>
      </c>
      <c r="C283" s="7">
        <v>3.33</v>
      </c>
      <c r="D283" s="6">
        <v>0.44290000000000002</v>
      </c>
      <c r="E283" s="1">
        <v>5</v>
      </c>
      <c r="F283" s="8">
        <v>216</v>
      </c>
      <c r="G283" s="1">
        <v>14.9</v>
      </c>
      <c r="H283" s="9">
        <v>6.968</v>
      </c>
      <c r="I283" s="1">
        <v>4.59</v>
      </c>
      <c r="J283" s="1">
        <v>35.4</v>
      </c>
    </row>
    <row r="284" spans="1:10">
      <c r="A284" s="5">
        <v>4.2699999999999996</v>
      </c>
      <c r="B284" s="6">
        <v>0.49700000000000005</v>
      </c>
      <c r="C284" s="7">
        <v>3.33</v>
      </c>
      <c r="D284" s="6">
        <v>0.44290000000000002</v>
      </c>
      <c r="E284" s="1">
        <v>5</v>
      </c>
      <c r="F284" s="8">
        <v>216</v>
      </c>
      <c r="G284" s="1">
        <v>14.9</v>
      </c>
      <c r="H284" s="9">
        <v>7.6449999999999996</v>
      </c>
      <c r="I284" s="1">
        <v>3.01</v>
      </c>
      <c r="J284" s="1">
        <v>46</v>
      </c>
    </row>
    <row r="285" spans="1:10">
      <c r="A285" s="5">
        <v>4.71</v>
      </c>
      <c r="B285" s="6">
        <v>0.24800000000000003</v>
      </c>
      <c r="C285" s="7">
        <v>1.21</v>
      </c>
      <c r="D285" s="6">
        <v>0.40100000000000002</v>
      </c>
      <c r="E285" s="1">
        <v>1</v>
      </c>
      <c r="F285" s="8">
        <v>198</v>
      </c>
      <c r="G285" s="1">
        <v>13.6</v>
      </c>
      <c r="H285" s="9">
        <v>7.923</v>
      </c>
      <c r="I285" s="1">
        <v>3.16</v>
      </c>
      <c r="J285" s="1">
        <v>50</v>
      </c>
    </row>
    <row r="286" spans="1:10">
      <c r="A286" s="5">
        <v>6.75</v>
      </c>
      <c r="B286" s="6">
        <v>0.20800000000000002</v>
      </c>
      <c r="C286" s="7">
        <v>2.97</v>
      </c>
      <c r="D286" s="6">
        <v>0.4</v>
      </c>
      <c r="E286" s="1">
        <v>1</v>
      </c>
      <c r="F286" s="8">
        <v>285</v>
      </c>
      <c r="G286" s="1">
        <v>15.3</v>
      </c>
      <c r="H286" s="9">
        <v>7.0880000000000001</v>
      </c>
      <c r="I286" s="1">
        <v>7.85</v>
      </c>
      <c r="J286" s="1">
        <v>32.200000000000003</v>
      </c>
    </row>
    <row r="287" spans="1:10">
      <c r="A287" s="5">
        <v>5.99</v>
      </c>
      <c r="B287" s="6">
        <v>0.31900000000000001</v>
      </c>
      <c r="C287" s="7">
        <v>2.25</v>
      </c>
      <c r="D287" s="6">
        <v>0.38900000000000001</v>
      </c>
      <c r="E287" s="1">
        <v>1</v>
      </c>
      <c r="F287" s="8">
        <v>300</v>
      </c>
      <c r="G287" s="1">
        <v>15.3</v>
      </c>
      <c r="H287" s="9">
        <v>6.4530000000000003</v>
      </c>
      <c r="I287" s="1">
        <v>8.23</v>
      </c>
      <c r="J287" s="1">
        <v>22</v>
      </c>
    </row>
    <row r="288" spans="1:10">
      <c r="A288" s="5">
        <v>9.81</v>
      </c>
      <c r="B288" s="6">
        <v>0.315</v>
      </c>
      <c r="C288" s="7">
        <v>1.76</v>
      </c>
      <c r="D288" s="6">
        <v>0.38500000000000001</v>
      </c>
      <c r="E288" s="1">
        <v>1</v>
      </c>
      <c r="F288" s="8">
        <v>241</v>
      </c>
      <c r="G288" s="1">
        <v>18.2</v>
      </c>
      <c r="H288" s="9">
        <v>6.23</v>
      </c>
      <c r="I288" s="1">
        <v>12.93</v>
      </c>
      <c r="J288" s="1">
        <v>20.100000000000001</v>
      </c>
    </row>
    <row r="289" spans="1:10">
      <c r="A289" s="5">
        <v>0.23</v>
      </c>
      <c r="B289" s="6">
        <v>0.313</v>
      </c>
      <c r="C289" s="7">
        <v>5.32</v>
      </c>
      <c r="D289" s="6">
        <v>0.40500000000000003</v>
      </c>
      <c r="E289" s="1">
        <v>6</v>
      </c>
      <c r="F289" s="8">
        <v>293</v>
      </c>
      <c r="G289" s="1">
        <v>16.600000000000001</v>
      </c>
      <c r="H289" s="9">
        <v>6.2089999999999996</v>
      </c>
      <c r="I289" s="1">
        <v>7.14</v>
      </c>
      <c r="J289" s="1">
        <v>23.2</v>
      </c>
    </row>
    <row r="290" spans="1:10">
      <c r="A290" s="5">
        <v>8.49</v>
      </c>
      <c r="B290" s="6">
        <v>0.45600000000000002</v>
      </c>
      <c r="C290" s="7">
        <v>5.32</v>
      </c>
      <c r="D290" s="6">
        <v>0.40500000000000003</v>
      </c>
      <c r="E290" s="1">
        <v>6</v>
      </c>
      <c r="F290" s="8">
        <v>293</v>
      </c>
      <c r="G290" s="1">
        <v>16.600000000000001</v>
      </c>
      <c r="H290" s="9">
        <v>6.3150000000000004</v>
      </c>
      <c r="I290" s="1">
        <v>7.6</v>
      </c>
      <c r="J290" s="1">
        <v>22.3</v>
      </c>
    </row>
    <row r="291" spans="1:10">
      <c r="A291" s="5">
        <v>5.86</v>
      </c>
      <c r="B291" s="6">
        <v>0.22899999999999998</v>
      </c>
      <c r="C291" s="7">
        <v>5.32</v>
      </c>
      <c r="D291" s="6">
        <v>0.40500000000000003</v>
      </c>
      <c r="E291" s="1">
        <v>6</v>
      </c>
      <c r="F291" s="8">
        <v>293</v>
      </c>
      <c r="G291" s="1">
        <v>16.600000000000001</v>
      </c>
      <c r="H291" s="9">
        <v>6.5650000000000004</v>
      </c>
      <c r="I291" s="1">
        <v>9.51</v>
      </c>
      <c r="J291" s="1">
        <v>24.8</v>
      </c>
    </row>
    <row r="292" spans="1:10">
      <c r="A292" s="5">
        <v>0.53</v>
      </c>
      <c r="B292" s="6">
        <v>0.27899999999999997</v>
      </c>
      <c r="C292" s="7">
        <v>4.95</v>
      </c>
      <c r="D292" s="6">
        <v>0.41099999999999998</v>
      </c>
      <c r="E292" s="1">
        <v>4</v>
      </c>
      <c r="F292" s="8">
        <v>245</v>
      </c>
      <c r="G292" s="1">
        <v>19.2</v>
      </c>
      <c r="H292" s="9">
        <v>6.8609999999999998</v>
      </c>
      <c r="I292" s="1">
        <v>3.33</v>
      </c>
      <c r="J292" s="1">
        <v>28.5</v>
      </c>
    </row>
    <row r="293" spans="1:10">
      <c r="A293" s="5">
        <v>5.91</v>
      </c>
      <c r="B293" s="6">
        <v>0.27700000000000002</v>
      </c>
      <c r="C293" s="7">
        <v>4.95</v>
      </c>
      <c r="D293" s="6">
        <v>0.41099999999999998</v>
      </c>
      <c r="E293" s="1">
        <v>4</v>
      </c>
      <c r="F293" s="8">
        <v>245</v>
      </c>
      <c r="G293" s="1">
        <v>19.2</v>
      </c>
      <c r="H293" s="9">
        <v>7.1479999999999997</v>
      </c>
      <c r="I293" s="1">
        <v>3.56</v>
      </c>
      <c r="J293" s="1">
        <v>37.299999999999997</v>
      </c>
    </row>
    <row r="294" spans="1:10">
      <c r="A294" s="5">
        <v>4.96</v>
      </c>
      <c r="B294" s="6">
        <v>0.23399999999999999</v>
      </c>
      <c r="C294" s="7">
        <v>4.95</v>
      </c>
      <c r="D294" s="6">
        <v>0.41099999999999998</v>
      </c>
      <c r="E294" s="1">
        <v>4</v>
      </c>
      <c r="F294" s="8">
        <v>245</v>
      </c>
      <c r="G294" s="1">
        <v>19.2</v>
      </c>
      <c r="H294" s="9">
        <v>6.63</v>
      </c>
      <c r="I294" s="1">
        <v>4.7</v>
      </c>
      <c r="J294" s="1">
        <v>27.9</v>
      </c>
    </row>
    <row r="295" spans="1:10">
      <c r="A295" s="5">
        <v>5.63</v>
      </c>
      <c r="B295" s="6">
        <v>0.184</v>
      </c>
      <c r="C295" s="7">
        <v>13.92</v>
      </c>
      <c r="D295" s="6">
        <v>0.437</v>
      </c>
      <c r="E295" s="1">
        <v>4</v>
      </c>
      <c r="F295" s="8">
        <v>289</v>
      </c>
      <c r="G295" s="1">
        <v>16</v>
      </c>
      <c r="H295" s="9">
        <v>6.1269999999999998</v>
      </c>
      <c r="I295" s="1">
        <v>8.58</v>
      </c>
      <c r="J295" s="1">
        <v>23.9</v>
      </c>
    </row>
    <row r="296" spans="1:10">
      <c r="A296" s="5">
        <v>5.45</v>
      </c>
      <c r="B296" s="6">
        <v>0.42299999999999999</v>
      </c>
      <c r="C296" s="7">
        <v>13.92</v>
      </c>
      <c r="D296" s="6">
        <v>0.437</v>
      </c>
      <c r="E296" s="1">
        <v>4</v>
      </c>
      <c r="F296" s="8">
        <v>289</v>
      </c>
      <c r="G296" s="1">
        <v>16</v>
      </c>
      <c r="H296" s="9">
        <v>6.0090000000000003</v>
      </c>
      <c r="I296" s="1">
        <v>10.4</v>
      </c>
      <c r="J296" s="1">
        <v>21.7</v>
      </c>
    </row>
    <row r="297" spans="1:10">
      <c r="A297" s="5">
        <v>3.62</v>
      </c>
      <c r="B297" s="6">
        <v>0.311</v>
      </c>
      <c r="C297" s="7">
        <v>13.92</v>
      </c>
      <c r="D297" s="6">
        <v>0.437</v>
      </c>
      <c r="E297" s="1">
        <v>4</v>
      </c>
      <c r="F297" s="8">
        <v>289</v>
      </c>
      <c r="G297" s="1">
        <v>16</v>
      </c>
      <c r="H297" s="9">
        <v>6.6779999999999999</v>
      </c>
      <c r="I297" s="1">
        <v>6.27</v>
      </c>
      <c r="J297" s="1">
        <v>28.6</v>
      </c>
    </row>
    <row r="298" spans="1:10">
      <c r="A298" s="5">
        <v>6.58</v>
      </c>
      <c r="B298" s="6">
        <v>0.51</v>
      </c>
      <c r="C298" s="7">
        <v>13.92</v>
      </c>
      <c r="D298" s="6">
        <v>0.437</v>
      </c>
      <c r="E298" s="1">
        <v>4</v>
      </c>
      <c r="F298" s="8">
        <v>289</v>
      </c>
      <c r="G298" s="1">
        <v>16</v>
      </c>
      <c r="H298" s="9">
        <v>6.5490000000000004</v>
      </c>
      <c r="I298" s="1">
        <v>7.39</v>
      </c>
      <c r="J298" s="1">
        <v>27.1</v>
      </c>
    </row>
    <row r="299" spans="1:10">
      <c r="A299" s="5">
        <v>0.67</v>
      </c>
      <c r="B299" s="6">
        <v>0.57999999999999996</v>
      </c>
      <c r="C299" s="7">
        <v>13.92</v>
      </c>
      <c r="D299" s="6">
        <v>0.437</v>
      </c>
      <c r="E299" s="1">
        <v>4</v>
      </c>
      <c r="F299" s="8">
        <v>289</v>
      </c>
      <c r="G299" s="1">
        <v>16</v>
      </c>
      <c r="H299" s="9">
        <v>5.79</v>
      </c>
      <c r="I299" s="1">
        <v>15.84</v>
      </c>
      <c r="J299" s="1">
        <v>20.3</v>
      </c>
    </row>
    <row r="300" spans="1:10">
      <c r="A300" s="5">
        <v>2.0699999999999998</v>
      </c>
      <c r="B300" s="6">
        <v>0.20100000000000001</v>
      </c>
      <c r="C300" s="7">
        <v>2.2400000000000002</v>
      </c>
      <c r="D300" s="6">
        <v>0.4</v>
      </c>
      <c r="E300" s="1">
        <v>5</v>
      </c>
      <c r="F300" s="8">
        <v>358</v>
      </c>
      <c r="G300" s="1">
        <v>14.8</v>
      </c>
      <c r="H300" s="9">
        <v>6.3449999999999998</v>
      </c>
      <c r="I300" s="1">
        <v>4.97</v>
      </c>
      <c r="J300" s="1">
        <v>22.5</v>
      </c>
    </row>
    <row r="301" spans="1:10">
      <c r="A301" s="5">
        <v>0.84</v>
      </c>
      <c r="B301" s="6">
        <v>0.1</v>
      </c>
      <c r="C301" s="7">
        <v>2.2400000000000002</v>
      </c>
      <c r="D301" s="6">
        <v>0.4</v>
      </c>
      <c r="E301" s="1">
        <v>5</v>
      </c>
      <c r="F301" s="8">
        <v>358</v>
      </c>
      <c r="G301" s="1">
        <v>14.8</v>
      </c>
      <c r="H301" s="9">
        <v>7.0410000000000004</v>
      </c>
      <c r="I301" s="1">
        <v>4.74</v>
      </c>
      <c r="J301" s="1">
        <v>29</v>
      </c>
    </row>
    <row r="302" spans="1:10">
      <c r="A302" s="5">
        <v>4.17</v>
      </c>
      <c r="B302" s="6">
        <v>0.47399999999999998</v>
      </c>
      <c r="C302" s="7">
        <v>2.2400000000000002</v>
      </c>
      <c r="D302" s="6">
        <v>0.4</v>
      </c>
      <c r="E302" s="1">
        <v>5</v>
      </c>
      <c r="F302" s="8">
        <v>358</v>
      </c>
      <c r="G302" s="1">
        <v>14.8</v>
      </c>
      <c r="H302" s="9">
        <v>6.8710000000000004</v>
      </c>
      <c r="I302" s="1">
        <v>6.07</v>
      </c>
      <c r="J302" s="1">
        <v>24.8</v>
      </c>
    </row>
    <row r="303" spans="1:10">
      <c r="A303" s="5">
        <v>0.12</v>
      </c>
      <c r="B303" s="6">
        <v>0.40399999999999997</v>
      </c>
      <c r="C303" s="7">
        <v>6.09</v>
      </c>
      <c r="D303" s="6">
        <v>0.433</v>
      </c>
      <c r="E303" s="1">
        <v>7</v>
      </c>
      <c r="F303" s="8">
        <v>329</v>
      </c>
      <c r="G303" s="1">
        <v>16.100000000000001</v>
      </c>
      <c r="H303" s="9">
        <v>6.59</v>
      </c>
      <c r="I303" s="1">
        <v>9.5</v>
      </c>
      <c r="J303" s="1">
        <v>22</v>
      </c>
    </row>
    <row r="304" spans="1:10">
      <c r="A304" s="5">
        <v>2.06</v>
      </c>
      <c r="B304" s="6">
        <v>0.184</v>
      </c>
      <c r="C304" s="7">
        <v>6.09</v>
      </c>
      <c r="D304" s="6">
        <v>0.433</v>
      </c>
      <c r="E304" s="1">
        <v>7</v>
      </c>
      <c r="F304" s="8">
        <v>329</v>
      </c>
      <c r="G304" s="1">
        <v>16.100000000000001</v>
      </c>
      <c r="H304" s="9">
        <v>6.4950000000000001</v>
      </c>
      <c r="I304" s="1">
        <v>8.67</v>
      </c>
      <c r="J304" s="1">
        <v>26.4</v>
      </c>
    </row>
    <row r="305" spans="1:10">
      <c r="A305" s="5">
        <v>4.4800000000000004</v>
      </c>
      <c r="B305" s="6">
        <v>0.17699999999999999</v>
      </c>
      <c r="C305" s="7">
        <v>6.09</v>
      </c>
      <c r="D305" s="6">
        <v>0.433</v>
      </c>
      <c r="E305" s="1">
        <v>7</v>
      </c>
      <c r="F305" s="8">
        <v>329</v>
      </c>
      <c r="G305" s="1">
        <v>16.100000000000001</v>
      </c>
      <c r="H305" s="9">
        <v>6.9820000000000002</v>
      </c>
      <c r="I305" s="1">
        <v>4.8600000000000003</v>
      </c>
      <c r="J305" s="1">
        <v>33.1</v>
      </c>
    </row>
    <row r="306" spans="1:10">
      <c r="A306" s="5">
        <v>6.45</v>
      </c>
      <c r="B306" s="6">
        <v>0.41100000000000003</v>
      </c>
      <c r="C306" s="7">
        <v>2.1800000000000002</v>
      </c>
      <c r="D306" s="6">
        <v>0.47199999999999998</v>
      </c>
      <c r="E306" s="1">
        <v>7</v>
      </c>
      <c r="F306" s="8">
        <v>222</v>
      </c>
      <c r="G306" s="1">
        <v>18.399999999999999</v>
      </c>
      <c r="H306" s="9">
        <v>7.2359999999999998</v>
      </c>
      <c r="I306" s="1">
        <v>6.93</v>
      </c>
      <c r="J306" s="1">
        <v>36.1</v>
      </c>
    </row>
    <row r="307" spans="1:10">
      <c r="A307" s="5">
        <v>5.0599999999999996</v>
      </c>
      <c r="B307" s="6">
        <v>0.58100000000000007</v>
      </c>
      <c r="C307" s="7">
        <v>2.1800000000000002</v>
      </c>
      <c r="D307" s="6">
        <v>0.47199999999999998</v>
      </c>
      <c r="E307" s="1">
        <v>7</v>
      </c>
      <c r="F307" s="8">
        <v>222</v>
      </c>
      <c r="G307" s="1">
        <v>18.399999999999999</v>
      </c>
      <c r="H307" s="9">
        <v>6.6159999999999997</v>
      </c>
      <c r="I307" s="1">
        <v>8.93</v>
      </c>
      <c r="J307" s="1">
        <v>28.4</v>
      </c>
    </row>
    <row r="308" spans="1:10">
      <c r="A308" s="5">
        <v>3.58</v>
      </c>
      <c r="B308" s="6">
        <v>0.71900000000000008</v>
      </c>
      <c r="C308" s="7">
        <v>2.1800000000000002</v>
      </c>
      <c r="D308" s="6">
        <v>0.47199999999999998</v>
      </c>
      <c r="E308" s="1">
        <v>7</v>
      </c>
      <c r="F308" s="8">
        <v>222</v>
      </c>
      <c r="G308" s="1">
        <v>18.399999999999999</v>
      </c>
      <c r="H308" s="9">
        <v>7.42</v>
      </c>
      <c r="I308" s="1">
        <v>6.47</v>
      </c>
      <c r="J308" s="1">
        <v>33.4</v>
      </c>
    </row>
    <row r="309" spans="1:10">
      <c r="A309" s="5">
        <v>7.98</v>
      </c>
      <c r="B309" s="6">
        <v>0.70299999999999996</v>
      </c>
      <c r="C309" s="7">
        <v>2.1800000000000002</v>
      </c>
      <c r="D309" s="6">
        <v>0.47199999999999998</v>
      </c>
      <c r="E309" s="1">
        <v>7</v>
      </c>
      <c r="F309" s="8">
        <v>222</v>
      </c>
      <c r="G309" s="1">
        <v>18.399999999999999</v>
      </c>
      <c r="H309" s="9">
        <v>6.8490000000000002</v>
      </c>
      <c r="I309" s="1">
        <v>7.53</v>
      </c>
      <c r="J309" s="1">
        <v>28.2</v>
      </c>
    </row>
    <row r="310" spans="1:10">
      <c r="A310" s="5">
        <v>5.79</v>
      </c>
      <c r="B310" s="6">
        <v>0.82500000000000007</v>
      </c>
      <c r="C310" s="7">
        <v>9.9</v>
      </c>
      <c r="D310" s="6">
        <v>0.54400000000000004</v>
      </c>
      <c r="E310" s="1">
        <v>4</v>
      </c>
      <c r="F310" s="8">
        <v>304</v>
      </c>
      <c r="G310" s="1">
        <v>18.399999999999999</v>
      </c>
      <c r="H310" s="9">
        <v>6.6349999999999998</v>
      </c>
      <c r="I310" s="1">
        <v>4.54</v>
      </c>
      <c r="J310" s="1">
        <v>22.8</v>
      </c>
    </row>
    <row r="311" spans="1:10">
      <c r="A311" s="5">
        <v>4.8600000000000003</v>
      </c>
      <c r="B311" s="6">
        <v>0.76700000000000002</v>
      </c>
      <c r="C311" s="7">
        <v>9.9</v>
      </c>
      <c r="D311" s="6">
        <v>0.54400000000000004</v>
      </c>
      <c r="E311" s="1">
        <v>4</v>
      </c>
      <c r="F311" s="8">
        <v>304</v>
      </c>
      <c r="G311" s="1">
        <v>18.399999999999999</v>
      </c>
      <c r="H311" s="9">
        <v>5.9720000000000004</v>
      </c>
      <c r="I311" s="1">
        <v>9.9700000000000006</v>
      </c>
      <c r="J311" s="1">
        <v>20.3</v>
      </c>
    </row>
    <row r="312" spans="1:10">
      <c r="A312" s="5">
        <v>4.6100000000000003</v>
      </c>
      <c r="B312" s="6">
        <v>0.378</v>
      </c>
      <c r="C312" s="7">
        <v>9.9</v>
      </c>
      <c r="D312" s="6">
        <v>0.54400000000000004</v>
      </c>
      <c r="E312" s="1">
        <v>4</v>
      </c>
      <c r="F312" s="8">
        <v>304</v>
      </c>
      <c r="G312" s="1">
        <v>18.399999999999999</v>
      </c>
      <c r="H312" s="9">
        <v>4.9729999999999999</v>
      </c>
      <c r="I312" s="1">
        <v>12.64</v>
      </c>
      <c r="J312" s="1">
        <v>16.100000000000001</v>
      </c>
    </row>
    <row r="313" spans="1:10">
      <c r="A313" s="5">
        <v>1.49</v>
      </c>
      <c r="B313" s="6">
        <v>0.52800000000000002</v>
      </c>
      <c r="C313" s="7">
        <v>9.9</v>
      </c>
      <c r="D313" s="6">
        <v>0.54400000000000004</v>
      </c>
      <c r="E313" s="1">
        <v>4</v>
      </c>
      <c r="F313" s="8">
        <v>304</v>
      </c>
      <c r="G313" s="1">
        <v>18.399999999999999</v>
      </c>
      <c r="H313" s="9">
        <v>6.1219999999999999</v>
      </c>
      <c r="I313" s="1">
        <v>5.98</v>
      </c>
      <c r="J313" s="1">
        <v>22.1</v>
      </c>
    </row>
    <row r="314" spans="1:10">
      <c r="A314" s="5">
        <v>9.4</v>
      </c>
      <c r="B314" s="6">
        <v>0.90400000000000003</v>
      </c>
      <c r="C314" s="7">
        <v>9.9</v>
      </c>
      <c r="D314" s="6">
        <v>0.54400000000000004</v>
      </c>
      <c r="E314" s="1">
        <v>4</v>
      </c>
      <c r="F314" s="8">
        <v>304</v>
      </c>
      <c r="G314" s="1">
        <v>18.399999999999999</v>
      </c>
      <c r="H314" s="9">
        <v>6.0229999999999997</v>
      </c>
      <c r="I314" s="1">
        <v>11.72</v>
      </c>
      <c r="J314" s="1">
        <v>19.399999999999999</v>
      </c>
    </row>
    <row r="315" spans="1:10">
      <c r="A315" s="5">
        <v>6.84</v>
      </c>
      <c r="B315" s="6">
        <v>0.82799999999999996</v>
      </c>
      <c r="C315" s="7">
        <v>9.9</v>
      </c>
      <c r="D315" s="6">
        <v>0.54400000000000004</v>
      </c>
      <c r="E315" s="1">
        <v>4</v>
      </c>
      <c r="F315" s="8">
        <v>304</v>
      </c>
      <c r="G315" s="1">
        <v>18.399999999999999</v>
      </c>
      <c r="H315" s="9">
        <v>6.266</v>
      </c>
      <c r="I315" s="1">
        <v>7.9</v>
      </c>
      <c r="J315" s="1">
        <v>21.6</v>
      </c>
    </row>
    <row r="316" spans="1:10">
      <c r="A316" s="5">
        <v>1.57</v>
      </c>
      <c r="B316" s="6">
        <v>0.873</v>
      </c>
      <c r="C316" s="7">
        <v>9.9</v>
      </c>
      <c r="D316" s="6">
        <v>0.54400000000000004</v>
      </c>
      <c r="E316" s="1">
        <v>4</v>
      </c>
      <c r="F316" s="8">
        <v>304</v>
      </c>
      <c r="G316" s="1">
        <v>18.399999999999999</v>
      </c>
      <c r="H316" s="9">
        <v>6.5670000000000002</v>
      </c>
      <c r="I316" s="1">
        <v>9.2799999999999994</v>
      </c>
      <c r="J316" s="1">
        <v>23.8</v>
      </c>
    </row>
    <row r="317" spans="1:10">
      <c r="A317" s="5">
        <v>0.85</v>
      </c>
      <c r="B317" s="6">
        <v>0.77700000000000002</v>
      </c>
      <c r="C317" s="7">
        <v>9.9</v>
      </c>
      <c r="D317" s="6">
        <v>0.54400000000000004</v>
      </c>
      <c r="E317" s="1">
        <v>4</v>
      </c>
      <c r="F317" s="8">
        <v>304</v>
      </c>
      <c r="G317" s="1">
        <v>18.399999999999999</v>
      </c>
      <c r="H317" s="9">
        <v>5.7050000000000001</v>
      </c>
      <c r="I317" s="1">
        <v>11.5</v>
      </c>
      <c r="J317" s="1">
        <v>16.2</v>
      </c>
    </row>
    <row r="318" spans="1:10">
      <c r="A318" s="5">
        <v>8.91</v>
      </c>
      <c r="B318" s="6">
        <v>0.83200000000000007</v>
      </c>
      <c r="C318" s="7">
        <v>9.9</v>
      </c>
      <c r="D318" s="6">
        <v>0.54400000000000004</v>
      </c>
      <c r="E318" s="1">
        <v>4</v>
      </c>
      <c r="F318" s="8">
        <v>304</v>
      </c>
      <c r="G318" s="1">
        <v>18.399999999999999</v>
      </c>
      <c r="H318" s="9">
        <v>5.9139999999999997</v>
      </c>
      <c r="I318" s="1">
        <v>18.329999999999998</v>
      </c>
      <c r="J318" s="1">
        <v>17.8</v>
      </c>
    </row>
    <row r="319" spans="1:10">
      <c r="A319" s="5">
        <v>5.09</v>
      </c>
      <c r="B319" s="6">
        <v>0.71700000000000008</v>
      </c>
      <c r="C319" s="7">
        <v>9.9</v>
      </c>
      <c r="D319" s="6">
        <v>0.54400000000000004</v>
      </c>
      <c r="E319" s="1">
        <v>4</v>
      </c>
      <c r="F319" s="8">
        <v>304</v>
      </c>
      <c r="G319" s="1">
        <v>18.399999999999999</v>
      </c>
      <c r="H319" s="9">
        <v>5.782</v>
      </c>
      <c r="I319" s="1">
        <v>15.94</v>
      </c>
      <c r="J319" s="1">
        <v>19.8</v>
      </c>
    </row>
    <row r="320" spans="1:10">
      <c r="A320" s="5">
        <v>5.8</v>
      </c>
      <c r="B320" s="6">
        <v>0.67200000000000004</v>
      </c>
      <c r="C320" s="7">
        <v>9.9</v>
      </c>
      <c r="D320" s="6">
        <v>0.54400000000000004</v>
      </c>
      <c r="E320" s="1">
        <v>4</v>
      </c>
      <c r="F320" s="8">
        <v>304</v>
      </c>
      <c r="G320" s="1">
        <v>18.399999999999999</v>
      </c>
      <c r="H320" s="9">
        <v>6.3819999999999997</v>
      </c>
      <c r="I320" s="1">
        <v>10.36</v>
      </c>
      <c r="J320" s="1">
        <v>23.1</v>
      </c>
    </row>
    <row r="321" spans="1:10">
      <c r="A321" s="5">
        <v>4.82</v>
      </c>
      <c r="B321" s="6">
        <v>0.58799999999999997</v>
      </c>
      <c r="C321" s="7">
        <v>9.9</v>
      </c>
      <c r="D321" s="6">
        <v>0.54400000000000004</v>
      </c>
      <c r="E321" s="1">
        <v>4</v>
      </c>
      <c r="F321" s="8">
        <v>304</v>
      </c>
      <c r="G321" s="1">
        <v>18.399999999999999</v>
      </c>
      <c r="H321" s="9">
        <v>6.1130000000000004</v>
      </c>
      <c r="I321" s="1">
        <v>12.73</v>
      </c>
      <c r="J321" s="1">
        <v>21</v>
      </c>
    </row>
    <row r="322" spans="1:10">
      <c r="A322" s="5">
        <v>9.57</v>
      </c>
      <c r="B322" s="6">
        <v>0.52300000000000002</v>
      </c>
      <c r="C322" s="7">
        <v>7.38</v>
      </c>
      <c r="D322" s="6">
        <v>0.49299999999999999</v>
      </c>
      <c r="E322" s="1">
        <v>5</v>
      </c>
      <c r="F322" s="8">
        <v>287</v>
      </c>
      <c r="G322" s="1">
        <v>19.600000000000001</v>
      </c>
      <c r="H322" s="9">
        <v>6.4260000000000002</v>
      </c>
      <c r="I322" s="1">
        <v>7.2</v>
      </c>
      <c r="J322" s="1">
        <v>23.8</v>
      </c>
    </row>
    <row r="323" spans="1:10">
      <c r="A323" s="5">
        <v>8.92</v>
      </c>
      <c r="B323" s="6">
        <v>0.54300000000000004</v>
      </c>
      <c r="C323" s="7">
        <v>7.38</v>
      </c>
      <c r="D323" s="6">
        <v>0.49299999999999999</v>
      </c>
      <c r="E323" s="1">
        <v>5</v>
      </c>
      <c r="F323" s="8">
        <v>287</v>
      </c>
      <c r="G323" s="1">
        <v>19.600000000000001</v>
      </c>
      <c r="H323" s="9">
        <v>6.3760000000000003</v>
      </c>
      <c r="I323" s="1">
        <v>6.87</v>
      </c>
      <c r="J323" s="1">
        <v>23.1</v>
      </c>
    </row>
    <row r="324" spans="1:10">
      <c r="A324" s="5">
        <v>6.4</v>
      </c>
      <c r="B324" s="6">
        <v>0.499</v>
      </c>
      <c r="C324" s="7">
        <v>7.38</v>
      </c>
      <c r="D324" s="6">
        <v>0.49299999999999999</v>
      </c>
      <c r="E324" s="1">
        <v>5</v>
      </c>
      <c r="F324" s="8">
        <v>287</v>
      </c>
      <c r="G324" s="1">
        <v>19.600000000000001</v>
      </c>
      <c r="H324" s="9">
        <v>6.0410000000000004</v>
      </c>
      <c r="I324" s="1">
        <v>7.7</v>
      </c>
      <c r="J324" s="1">
        <v>20.399999999999999</v>
      </c>
    </row>
    <row r="325" spans="1:10">
      <c r="A325" s="5">
        <v>8.9</v>
      </c>
      <c r="B325" s="6">
        <v>0.74299999999999999</v>
      </c>
      <c r="C325" s="7">
        <v>7.38</v>
      </c>
      <c r="D325" s="6">
        <v>0.49299999999999999</v>
      </c>
      <c r="E325" s="1">
        <v>5</v>
      </c>
      <c r="F325" s="8">
        <v>287</v>
      </c>
      <c r="G325" s="1">
        <v>19.600000000000001</v>
      </c>
      <c r="H325" s="9">
        <v>5.7080000000000002</v>
      </c>
      <c r="I325" s="1">
        <v>11.74</v>
      </c>
      <c r="J325" s="1">
        <v>18.5</v>
      </c>
    </row>
    <row r="326" spans="1:10">
      <c r="A326" s="5">
        <v>0.81</v>
      </c>
      <c r="B326" s="6">
        <v>0.40100000000000002</v>
      </c>
      <c r="C326" s="7">
        <v>7.38</v>
      </c>
      <c r="D326" s="6">
        <v>0.49299999999999999</v>
      </c>
      <c r="E326" s="1">
        <v>5</v>
      </c>
      <c r="F326" s="8">
        <v>287</v>
      </c>
      <c r="G326" s="1">
        <v>19.600000000000001</v>
      </c>
      <c r="H326" s="9">
        <v>6.415</v>
      </c>
      <c r="I326" s="1">
        <v>6.12</v>
      </c>
      <c r="J326" s="1">
        <v>25</v>
      </c>
    </row>
    <row r="327" spans="1:10">
      <c r="A327" s="5">
        <v>0.52</v>
      </c>
      <c r="B327" s="6">
        <v>0.14699999999999999</v>
      </c>
      <c r="C327" s="7">
        <v>7.38</v>
      </c>
      <c r="D327" s="6">
        <v>0.49299999999999999</v>
      </c>
      <c r="E327" s="1">
        <v>5</v>
      </c>
      <c r="F327" s="8">
        <v>287</v>
      </c>
      <c r="G327" s="1">
        <v>19.600000000000001</v>
      </c>
      <c r="H327" s="9">
        <v>6.431</v>
      </c>
      <c r="I327" s="1">
        <v>5.08</v>
      </c>
      <c r="J327" s="1">
        <v>24.6</v>
      </c>
    </row>
    <row r="328" spans="1:10">
      <c r="A328" s="5">
        <v>7.76</v>
      </c>
      <c r="B328" s="6">
        <v>0.28899999999999998</v>
      </c>
      <c r="C328" s="7">
        <v>7.38</v>
      </c>
      <c r="D328" s="6">
        <v>0.49299999999999999</v>
      </c>
      <c r="E328" s="1">
        <v>5</v>
      </c>
      <c r="F328" s="8">
        <v>287</v>
      </c>
      <c r="G328" s="1">
        <v>19.600000000000001</v>
      </c>
      <c r="H328" s="9">
        <v>6.3120000000000003</v>
      </c>
      <c r="I328" s="1">
        <v>6.15</v>
      </c>
      <c r="J328" s="1">
        <v>23</v>
      </c>
    </row>
    <row r="329" spans="1:10">
      <c r="A329" s="5">
        <v>0.35</v>
      </c>
      <c r="B329" s="6">
        <v>0.43700000000000006</v>
      </c>
      <c r="C329" s="7">
        <v>7.38</v>
      </c>
      <c r="D329" s="6">
        <v>0.49299999999999999</v>
      </c>
      <c r="E329" s="1">
        <v>5</v>
      </c>
      <c r="F329" s="8">
        <v>287</v>
      </c>
      <c r="G329" s="1">
        <v>19.600000000000001</v>
      </c>
      <c r="H329" s="9">
        <v>6.0830000000000002</v>
      </c>
      <c r="I329" s="1">
        <v>12.79</v>
      </c>
      <c r="J329" s="1">
        <v>22.2</v>
      </c>
    </row>
    <row r="330" spans="1:10">
      <c r="A330" s="5">
        <v>2.16</v>
      </c>
      <c r="B330" s="6">
        <v>0.25800000000000001</v>
      </c>
      <c r="C330" s="7">
        <v>3.24</v>
      </c>
      <c r="D330" s="6">
        <v>0.46</v>
      </c>
      <c r="E330" s="1">
        <v>4</v>
      </c>
      <c r="F330" s="8">
        <v>430</v>
      </c>
      <c r="G330" s="1">
        <v>16.899999999999999</v>
      </c>
      <c r="H330" s="9">
        <v>5.8680000000000003</v>
      </c>
      <c r="I330" s="1">
        <v>9.9700000000000006</v>
      </c>
      <c r="J330" s="1">
        <v>19.3</v>
      </c>
    </row>
    <row r="331" spans="1:10">
      <c r="A331" s="5">
        <v>0.9</v>
      </c>
      <c r="B331" s="6">
        <v>0.17199999999999999</v>
      </c>
      <c r="C331" s="7">
        <v>3.24</v>
      </c>
      <c r="D331" s="6">
        <v>0.46</v>
      </c>
      <c r="E331" s="1">
        <v>4</v>
      </c>
      <c r="F331" s="8">
        <v>430</v>
      </c>
      <c r="G331" s="1">
        <v>16.899999999999999</v>
      </c>
      <c r="H331" s="9">
        <v>6.3330000000000002</v>
      </c>
      <c r="I331" s="1">
        <v>7.34</v>
      </c>
      <c r="J331" s="1">
        <v>22.6</v>
      </c>
    </row>
    <row r="332" spans="1:10">
      <c r="A332" s="5">
        <v>8.65</v>
      </c>
      <c r="B332" s="6">
        <v>0.32200000000000001</v>
      </c>
      <c r="C332" s="7">
        <v>3.24</v>
      </c>
      <c r="D332" s="6">
        <v>0.46</v>
      </c>
      <c r="E332" s="1">
        <v>4</v>
      </c>
      <c r="F332" s="8">
        <v>430</v>
      </c>
      <c r="G332" s="1">
        <v>16.899999999999999</v>
      </c>
      <c r="H332" s="9">
        <v>6.1440000000000001</v>
      </c>
      <c r="I332" s="1">
        <v>9.09</v>
      </c>
      <c r="J332" s="1">
        <v>19.8</v>
      </c>
    </row>
    <row r="333" spans="1:10">
      <c r="A333" s="5">
        <v>4.5</v>
      </c>
      <c r="B333" s="6">
        <v>0.28399999999999997</v>
      </c>
      <c r="C333" s="7">
        <v>6.06</v>
      </c>
      <c r="D333" s="6">
        <v>0.43790000000000001</v>
      </c>
      <c r="E333" s="1">
        <v>1</v>
      </c>
      <c r="F333" s="8">
        <v>304</v>
      </c>
      <c r="G333" s="1">
        <v>16.899999999999999</v>
      </c>
      <c r="H333" s="9">
        <v>5.7060000000000004</v>
      </c>
      <c r="I333" s="1">
        <v>12.43</v>
      </c>
      <c r="J333" s="1">
        <v>17.100000000000001</v>
      </c>
    </row>
    <row r="334" spans="1:10">
      <c r="A334" s="5">
        <v>3.54</v>
      </c>
      <c r="B334" s="6">
        <v>0.23300000000000001</v>
      </c>
      <c r="C334" s="7">
        <v>6.06</v>
      </c>
      <c r="D334" s="6">
        <v>0.43790000000000001</v>
      </c>
      <c r="E334" s="1">
        <v>1</v>
      </c>
      <c r="F334" s="8">
        <v>304</v>
      </c>
      <c r="G334" s="1">
        <v>16.899999999999999</v>
      </c>
      <c r="H334" s="9">
        <v>6.0309999999999997</v>
      </c>
      <c r="I334" s="1">
        <v>7.83</v>
      </c>
      <c r="J334" s="1">
        <v>19.399999999999999</v>
      </c>
    </row>
    <row r="335" spans="1:10">
      <c r="A335" s="5">
        <v>5.53</v>
      </c>
      <c r="B335" s="6">
        <v>0.38100000000000001</v>
      </c>
      <c r="C335" s="7">
        <v>5.19</v>
      </c>
      <c r="D335" s="6">
        <v>0.51500000000000001</v>
      </c>
      <c r="E335" s="1">
        <v>5</v>
      </c>
      <c r="F335" s="8">
        <v>224</v>
      </c>
      <c r="G335" s="1">
        <v>20.2</v>
      </c>
      <c r="H335" s="9">
        <v>6.3159999999999998</v>
      </c>
      <c r="I335" s="1">
        <v>5.68</v>
      </c>
      <c r="J335" s="1">
        <v>22.2</v>
      </c>
    </row>
    <row r="336" spans="1:10">
      <c r="A336" s="5">
        <v>3.59</v>
      </c>
      <c r="B336" s="6">
        <v>0.38500000000000001</v>
      </c>
      <c r="C336" s="7">
        <v>5.19</v>
      </c>
      <c r="D336" s="6">
        <v>0.51500000000000001</v>
      </c>
      <c r="E336" s="1">
        <v>5</v>
      </c>
      <c r="F336" s="8">
        <v>224</v>
      </c>
      <c r="G336" s="1">
        <v>20.2</v>
      </c>
      <c r="H336" s="9">
        <v>6.31</v>
      </c>
      <c r="I336" s="1">
        <v>6.75</v>
      </c>
      <c r="J336" s="1">
        <v>20.7</v>
      </c>
    </row>
    <row r="337" spans="1:10">
      <c r="A337" s="5">
        <v>1.19</v>
      </c>
      <c r="B337" s="6">
        <v>0.34500000000000003</v>
      </c>
      <c r="C337" s="7">
        <v>5.19</v>
      </c>
      <c r="D337" s="6">
        <v>0.51500000000000001</v>
      </c>
      <c r="E337" s="1">
        <v>5</v>
      </c>
      <c r="F337" s="8">
        <v>224</v>
      </c>
      <c r="G337" s="1">
        <v>20.2</v>
      </c>
      <c r="H337" s="9">
        <v>6.0369999999999999</v>
      </c>
      <c r="I337" s="1">
        <v>8.01</v>
      </c>
      <c r="J337" s="1">
        <v>21.1</v>
      </c>
    </row>
    <row r="338" spans="1:10">
      <c r="A338" s="5">
        <v>4.78</v>
      </c>
      <c r="B338" s="6">
        <v>0.46299999999999997</v>
      </c>
      <c r="C338" s="7">
        <v>5.19</v>
      </c>
      <c r="D338" s="6">
        <v>0.51500000000000001</v>
      </c>
      <c r="E338" s="1">
        <v>5</v>
      </c>
      <c r="F338" s="8">
        <v>224</v>
      </c>
      <c r="G338" s="1">
        <v>20.2</v>
      </c>
      <c r="H338" s="9">
        <v>5.8689999999999998</v>
      </c>
      <c r="I338" s="1">
        <v>9.8000000000000007</v>
      </c>
      <c r="J338" s="1">
        <v>19.5</v>
      </c>
    </row>
    <row r="339" spans="1:10">
      <c r="A339" s="5">
        <v>5.18</v>
      </c>
      <c r="B339" s="6">
        <v>0.59599999999999997</v>
      </c>
      <c r="C339" s="7">
        <v>5.19</v>
      </c>
      <c r="D339" s="6">
        <v>0.51500000000000001</v>
      </c>
      <c r="E339" s="1">
        <v>5</v>
      </c>
      <c r="F339" s="8">
        <v>224</v>
      </c>
      <c r="G339" s="1">
        <v>20.2</v>
      </c>
      <c r="H339" s="9">
        <v>5.8949999999999996</v>
      </c>
      <c r="I339" s="1">
        <v>10.56</v>
      </c>
      <c r="J339" s="1">
        <v>18.5</v>
      </c>
    </row>
    <row r="340" spans="1:10">
      <c r="A340" s="5">
        <v>0.73</v>
      </c>
      <c r="B340" s="6">
        <v>0.373</v>
      </c>
      <c r="C340" s="7">
        <v>5.19</v>
      </c>
      <c r="D340" s="6">
        <v>0.51500000000000001</v>
      </c>
      <c r="E340" s="1">
        <v>5</v>
      </c>
      <c r="F340" s="8">
        <v>224</v>
      </c>
      <c r="G340" s="1">
        <v>20.2</v>
      </c>
      <c r="H340" s="9">
        <v>6.0590000000000002</v>
      </c>
      <c r="I340" s="1">
        <v>8.51</v>
      </c>
      <c r="J340" s="1">
        <v>20.6</v>
      </c>
    </row>
    <row r="341" spans="1:10">
      <c r="A341" s="5">
        <v>2.17</v>
      </c>
      <c r="B341" s="6">
        <v>0.45400000000000001</v>
      </c>
      <c r="C341" s="7">
        <v>5.19</v>
      </c>
      <c r="D341" s="6">
        <v>0.51500000000000001</v>
      </c>
      <c r="E341" s="1">
        <v>5</v>
      </c>
      <c r="F341" s="8">
        <v>224</v>
      </c>
      <c r="G341" s="1">
        <v>20.2</v>
      </c>
      <c r="H341" s="9">
        <v>5.9850000000000003</v>
      </c>
      <c r="I341" s="1">
        <v>9.74</v>
      </c>
      <c r="J341" s="1">
        <v>19</v>
      </c>
    </row>
    <row r="342" spans="1:10">
      <c r="A342" s="5">
        <v>2.2999999999999998</v>
      </c>
      <c r="B342" s="6">
        <v>0.58499999999999996</v>
      </c>
      <c r="C342" s="7">
        <v>5.19</v>
      </c>
      <c r="D342" s="6">
        <v>0.51500000000000001</v>
      </c>
      <c r="E342" s="1">
        <v>5</v>
      </c>
      <c r="F342" s="8">
        <v>224</v>
      </c>
      <c r="G342" s="1">
        <v>20.2</v>
      </c>
      <c r="H342" s="9">
        <v>5.968</v>
      </c>
      <c r="I342" s="1">
        <v>9.2899999999999991</v>
      </c>
      <c r="J342" s="1">
        <v>18.7</v>
      </c>
    </row>
    <row r="343" spans="1:10">
      <c r="A343" s="5">
        <v>7.62</v>
      </c>
      <c r="B343" s="6">
        <v>0.49299999999999999</v>
      </c>
      <c r="C343" s="7">
        <v>1.52</v>
      </c>
      <c r="D343" s="6">
        <v>0.442</v>
      </c>
      <c r="E343" s="1">
        <v>1</v>
      </c>
      <c r="F343" s="8">
        <v>284</v>
      </c>
      <c r="G343" s="1">
        <v>15.5</v>
      </c>
      <c r="H343" s="9">
        <v>7.2409999999999997</v>
      </c>
      <c r="I343" s="1">
        <v>5.49</v>
      </c>
      <c r="J343" s="1">
        <v>32.700000000000003</v>
      </c>
    </row>
    <row r="344" spans="1:10">
      <c r="A344" s="5">
        <v>4.04</v>
      </c>
      <c r="B344" s="6">
        <v>0.59700000000000009</v>
      </c>
      <c r="C344" s="7">
        <v>1.89</v>
      </c>
      <c r="D344" s="6">
        <v>0.51800000000000002</v>
      </c>
      <c r="E344" s="1">
        <v>1</v>
      </c>
      <c r="F344" s="8">
        <v>422</v>
      </c>
      <c r="G344" s="1">
        <v>15.9</v>
      </c>
      <c r="H344" s="9">
        <v>6.54</v>
      </c>
      <c r="I344" s="1">
        <v>8.65</v>
      </c>
      <c r="J344" s="1">
        <v>16.5</v>
      </c>
    </row>
    <row r="345" spans="1:10">
      <c r="A345" s="5">
        <v>8.49</v>
      </c>
      <c r="B345" s="6">
        <v>0.56399999999999995</v>
      </c>
      <c r="C345" s="7">
        <v>3.78</v>
      </c>
      <c r="D345" s="6">
        <v>0.48399999999999999</v>
      </c>
      <c r="E345" s="1">
        <v>5</v>
      </c>
      <c r="F345" s="8">
        <v>370</v>
      </c>
      <c r="G345" s="1">
        <v>17.600000000000001</v>
      </c>
      <c r="H345" s="9">
        <v>6.6959999999999997</v>
      </c>
      <c r="I345" s="1">
        <v>7.18</v>
      </c>
      <c r="J345" s="1">
        <v>23.9</v>
      </c>
    </row>
    <row r="346" spans="1:10">
      <c r="A346" s="5">
        <v>8.07</v>
      </c>
      <c r="B346" s="6">
        <v>0.28100000000000003</v>
      </c>
      <c r="C346" s="7">
        <v>3.78</v>
      </c>
      <c r="D346" s="6">
        <v>0.48399999999999999</v>
      </c>
      <c r="E346" s="1">
        <v>5</v>
      </c>
      <c r="F346" s="8">
        <v>370</v>
      </c>
      <c r="G346" s="1">
        <v>17.600000000000001</v>
      </c>
      <c r="H346" s="9">
        <v>6.8739999999999997</v>
      </c>
      <c r="I346" s="1">
        <v>4.6100000000000003</v>
      </c>
      <c r="J346" s="1">
        <v>31.2</v>
      </c>
    </row>
    <row r="347" spans="1:10">
      <c r="A347" s="5">
        <v>2.39</v>
      </c>
      <c r="B347" s="6">
        <v>0.48499999999999999</v>
      </c>
      <c r="C347" s="7">
        <v>4.3899999999999997</v>
      </c>
      <c r="D347" s="6">
        <v>0.442</v>
      </c>
      <c r="E347" s="1">
        <v>3</v>
      </c>
      <c r="F347" s="8">
        <v>352</v>
      </c>
      <c r="G347" s="1">
        <v>18.8</v>
      </c>
      <c r="H347" s="9">
        <v>6.0140000000000002</v>
      </c>
      <c r="I347" s="1">
        <v>10.53</v>
      </c>
      <c r="J347" s="1">
        <v>17.5</v>
      </c>
    </row>
    <row r="348" spans="1:10">
      <c r="A348" s="5">
        <v>0.72</v>
      </c>
      <c r="B348" s="6">
        <v>0.52300000000000002</v>
      </c>
      <c r="C348" s="7">
        <v>4.3899999999999997</v>
      </c>
      <c r="D348" s="6">
        <v>0.442</v>
      </c>
      <c r="E348" s="1">
        <v>3</v>
      </c>
      <c r="F348" s="8">
        <v>352</v>
      </c>
      <c r="G348" s="1">
        <v>18.8</v>
      </c>
      <c r="H348" s="9">
        <v>5.8979999999999997</v>
      </c>
      <c r="I348" s="1">
        <v>12.67</v>
      </c>
      <c r="J348" s="1">
        <v>17.2</v>
      </c>
    </row>
    <row r="349" spans="1:10">
      <c r="A349" s="5">
        <v>1.27</v>
      </c>
      <c r="B349" s="6">
        <v>0.27700000000000002</v>
      </c>
      <c r="C349" s="7">
        <v>4.1500000000000004</v>
      </c>
      <c r="D349" s="6">
        <v>0.42899999999999999</v>
      </c>
      <c r="E349" s="1">
        <v>4</v>
      </c>
      <c r="F349" s="8">
        <v>351</v>
      </c>
      <c r="G349" s="1">
        <v>17.899999999999999</v>
      </c>
      <c r="H349" s="9">
        <v>6.516</v>
      </c>
      <c r="I349" s="1">
        <v>6.36</v>
      </c>
      <c r="J349" s="1">
        <v>23.1</v>
      </c>
    </row>
    <row r="350" spans="1:10">
      <c r="A350" s="5">
        <v>2.69</v>
      </c>
      <c r="B350" s="6">
        <v>0.29699999999999999</v>
      </c>
      <c r="C350" s="7">
        <v>2.0099999999999998</v>
      </c>
      <c r="D350" s="6">
        <v>0.435</v>
      </c>
      <c r="E350" s="1">
        <v>4</v>
      </c>
      <c r="F350" s="8">
        <v>280</v>
      </c>
      <c r="G350" s="1">
        <v>17</v>
      </c>
      <c r="H350" s="9">
        <v>6.6349999999999998</v>
      </c>
      <c r="I350" s="1">
        <v>5.99</v>
      </c>
      <c r="J350" s="1">
        <v>24.5</v>
      </c>
    </row>
    <row r="351" spans="1:10">
      <c r="A351" s="5">
        <v>7.44</v>
      </c>
      <c r="B351" s="6">
        <v>0.34500000000000003</v>
      </c>
      <c r="C351" s="7">
        <v>1.25</v>
      </c>
      <c r="D351" s="6">
        <v>0.42899999999999999</v>
      </c>
      <c r="E351" s="1">
        <v>1</v>
      </c>
      <c r="F351" s="8">
        <v>335</v>
      </c>
      <c r="G351" s="1">
        <v>19.7</v>
      </c>
      <c r="H351" s="9">
        <v>6.9390000000000001</v>
      </c>
      <c r="I351" s="1">
        <v>5.89</v>
      </c>
      <c r="J351" s="1">
        <v>26.6</v>
      </c>
    </row>
    <row r="352" spans="1:10">
      <c r="A352" s="5">
        <v>6.84</v>
      </c>
      <c r="B352" s="6">
        <v>0.44400000000000001</v>
      </c>
      <c r="C352" s="7">
        <v>1.25</v>
      </c>
      <c r="D352" s="6">
        <v>0.42899999999999999</v>
      </c>
      <c r="E352" s="1">
        <v>1</v>
      </c>
      <c r="F352" s="8">
        <v>335</v>
      </c>
      <c r="G352" s="1">
        <v>19.7</v>
      </c>
      <c r="H352" s="9">
        <v>6.49</v>
      </c>
      <c r="I352" s="1">
        <v>5.98</v>
      </c>
      <c r="J352" s="1">
        <v>22.9</v>
      </c>
    </row>
    <row r="353" spans="1:10">
      <c r="A353" s="5">
        <v>6.61</v>
      </c>
      <c r="B353" s="6">
        <v>0.35899999999999999</v>
      </c>
      <c r="C353" s="7">
        <v>1.69</v>
      </c>
      <c r="D353" s="6">
        <v>0.41099999999999998</v>
      </c>
      <c r="E353" s="1">
        <v>4</v>
      </c>
      <c r="F353" s="8">
        <v>411</v>
      </c>
      <c r="G353" s="1">
        <v>18.3</v>
      </c>
      <c r="H353" s="9">
        <v>6.5789999999999997</v>
      </c>
      <c r="I353" s="1">
        <v>5.49</v>
      </c>
      <c r="J353" s="1">
        <v>24.1</v>
      </c>
    </row>
    <row r="354" spans="1:10">
      <c r="A354" s="5">
        <v>1.27</v>
      </c>
      <c r="B354" s="6">
        <v>0.185</v>
      </c>
      <c r="C354" s="7">
        <v>1.69</v>
      </c>
      <c r="D354" s="6">
        <v>0.41099999999999998</v>
      </c>
      <c r="E354" s="1">
        <v>4</v>
      </c>
      <c r="F354" s="8">
        <v>411</v>
      </c>
      <c r="G354" s="1">
        <v>18.3</v>
      </c>
      <c r="H354" s="9">
        <v>5.8840000000000003</v>
      </c>
      <c r="I354" s="1">
        <v>7.79</v>
      </c>
      <c r="J354" s="1">
        <v>18.600000000000001</v>
      </c>
    </row>
    <row r="355" spans="1:10">
      <c r="A355" s="5">
        <v>9.1</v>
      </c>
      <c r="B355" s="6">
        <v>0.36100000000000004</v>
      </c>
      <c r="C355" s="7">
        <v>2.02</v>
      </c>
      <c r="D355" s="6">
        <v>0.41</v>
      </c>
      <c r="E355" s="1">
        <v>5</v>
      </c>
      <c r="F355" s="8">
        <v>187</v>
      </c>
      <c r="G355" s="1">
        <v>17</v>
      </c>
      <c r="H355" s="9">
        <v>6.7279999999999998</v>
      </c>
      <c r="I355" s="1">
        <v>4.5</v>
      </c>
      <c r="J355" s="1">
        <v>30.1</v>
      </c>
    </row>
    <row r="356" spans="1:10">
      <c r="A356" s="5">
        <v>1.05</v>
      </c>
      <c r="B356" s="6">
        <v>0.219</v>
      </c>
      <c r="C356" s="7">
        <v>1.91</v>
      </c>
      <c r="D356" s="6">
        <v>0.41299999999999998</v>
      </c>
      <c r="E356" s="1">
        <v>4</v>
      </c>
      <c r="F356" s="8">
        <v>334</v>
      </c>
      <c r="G356" s="1">
        <v>22</v>
      </c>
      <c r="H356" s="9">
        <v>5.6630000000000003</v>
      </c>
      <c r="I356" s="1">
        <v>8.0500000000000007</v>
      </c>
      <c r="J356" s="1">
        <v>18.2</v>
      </c>
    </row>
    <row r="357" spans="1:10">
      <c r="A357" s="5">
        <v>8.43</v>
      </c>
      <c r="B357" s="6">
        <v>0.19500000000000001</v>
      </c>
      <c r="C357" s="7">
        <v>1.91</v>
      </c>
      <c r="D357" s="6">
        <v>0.41299999999999998</v>
      </c>
      <c r="E357" s="1">
        <v>4</v>
      </c>
      <c r="F357" s="8">
        <v>334</v>
      </c>
      <c r="G357" s="1">
        <v>22</v>
      </c>
      <c r="H357" s="9">
        <v>5.9359999999999999</v>
      </c>
      <c r="I357" s="1">
        <v>5.57</v>
      </c>
      <c r="J357" s="1">
        <v>20.6</v>
      </c>
    </row>
    <row r="358" spans="1:10">
      <c r="A358" s="5">
        <v>0.96</v>
      </c>
      <c r="B358" s="6">
        <v>0.97400000000000009</v>
      </c>
      <c r="C358" s="7">
        <v>18.100000000000001</v>
      </c>
      <c r="D358" s="6">
        <v>0.77</v>
      </c>
      <c r="E358" s="1">
        <v>24</v>
      </c>
      <c r="F358" s="8">
        <v>666</v>
      </c>
      <c r="G358" s="1">
        <v>20.2</v>
      </c>
      <c r="H358" s="9">
        <v>6.2119999999999997</v>
      </c>
      <c r="I358" s="1">
        <v>17.600000000000001</v>
      </c>
      <c r="J358" s="1">
        <v>17.8</v>
      </c>
    </row>
    <row r="359" spans="1:10">
      <c r="A359" s="5">
        <v>4.29</v>
      </c>
      <c r="B359" s="6">
        <v>0.91</v>
      </c>
      <c r="C359" s="7">
        <v>18.100000000000001</v>
      </c>
      <c r="D359" s="6">
        <v>0.77</v>
      </c>
      <c r="E359" s="1">
        <v>24</v>
      </c>
      <c r="F359" s="8">
        <v>666</v>
      </c>
      <c r="G359" s="1">
        <v>20.2</v>
      </c>
      <c r="H359" s="9">
        <v>6.3949999999999996</v>
      </c>
      <c r="I359" s="1">
        <v>13.27</v>
      </c>
      <c r="J359" s="1">
        <v>21.7</v>
      </c>
    </row>
    <row r="360" spans="1:10">
      <c r="A360" s="5">
        <v>0.38</v>
      </c>
      <c r="B360" s="6">
        <v>0.83400000000000007</v>
      </c>
      <c r="C360" s="7">
        <v>18.100000000000001</v>
      </c>
      <c r="D360" s="6">
        <v>0.77</v>
      </c>
      <c r="E360" s="1">
        <v>24</v>
      </c>
      <c r="F360" s="8">
        <v>666</v>
      </c>
      <c r="G360" s="1">
        <v>20.2</v>
      </c>
      <c r="H360" s="9">
        <v>6.1269999999999998</v>
      </c>
      <c r="I360" s="1">
        <v>11.48</v>
      </c>
      <c r="J360" s="1">
        <v>22.7</v>
      </c>
    </row>
    <row r="361" spans="1:10">
      <c r="A361" s="5">
        <v>7.28</v>
      </c>
      <c r="B361" s="6">
        <v>0.81299999999999994</v>
      </c>
      <c r="C361" s="7">
        <v>18.100000000000001</v>
      </c>
      <c r="D361" s="6">
        <v>0.77</v>
      </c>
      <c r="E361" s="1">
        <v>24</v>
      </c>
      <c r="F361" s="8">
        <v>666</v>
      </c>
      <c r="G361" s="1">
        <v>20.2</v>
      </c>
      <c r="H361" s="9">
        <v>6.1120000000000001</v>
      </c>
      <c r="I361" s="1">
        <v>12.67</v>
      </c>
      <c r="J361" s="1">
        <v>22.6</v>
      </c>
    </row>
    <row r="362" spans="1:10">
      <c r="A362" s="5">
        <v>4.51</v>
      </c>
      <c r="B362" s="6">
        <v>0.88</v>
      </c>
      <c r="C362" s="7">
        <v>18.100000000000001</v>
      </c>
      <c r="D362" s="6">
        <v>0.77</v>
      </c>
      <c r="E362" s="1">
        <v>24</v>
      </c>
      <c r="F362" s="8">
        <v>666</v>
      </c>
      <c r="G362" s="1">
        <v>20.2</v>
      </c>
      <c r="H362" s="9">
        <v>6.3979999999999997</v>
      </c>
      <c r="I362" s="1">
        <v>7.79</v>
      </c>
      <c r="J362" s="1">
        <v>25</v>
      </c>
    </row>
    <row r="363" spans="1:10">
      <c r="A363" s="5">
        <v>9.43</v>
      </c>
      <c r="B363" s="6">
        <v>0.91099999999999992</v>
      </c>
      <c r="C363" s="7">
        <v>18.100000000000001</v>
      </c>
      <c r="D363" s="6">
        <v>0.77</v>
      </c>
      <c r="E363" s="1">
        <v>24</v>
      </c>
      <c r="F363" s="8">
        <v>666</v>
      </c>
      <c r="G363" s="1">
        <v>20.2</v>
      </c>
      <c r="H363" s="9">
        <v>6.2510000000000003</v>
      </c>
      <c r="I363" s="1">
        <v>14.19</v>
      </c>
      <c r="J363" s="1">
        <v>19.899999999999999</v>
      </c>
    </row>
    <row r="364" spans="1:10">
      <c r="A364" s="5">
        <v>6.12</v>
      </c>
      <c r="B364" s="6">
        <v>0.96200000000000008</v>
      </c>
      <c r="C364" s="7">
        <v>18.100000000000001</v>
      </c>
      <c r="D364" s="6">
        <v>0.77</v>
      </c>
      <c r="E364" s="1">
        <v>24</v>
      </c>
      <c r="F364" s="8">
        <v>666</v>
      </c>
      <c r="G364" s="1">
        <v>20.2</v>
      </c>
      <c r="H364" s="9">
        <v>5.3620000000000001</v>
      </c>
      <c r="I364" s="1">
        <v>10.19</v>
      </c>
      <c r="J364" s="1">
        <v>20.8</v>
      </c>
    </row>
    <row r="365" spans="1:10">
      <c r="A365" s="5">
        <v>6.76</v>
      </c>
      <c r="B365" s="6">
        <v>0.89</v>
      </c>
      <c r="C365" s="7">
        <v>18.100000000000001</v>
      </c>
      <c r="D365" s="6">
        <v>0.77</v>
      </c>
      <c r="E365" s="1">
        <v>24</v>
      </c>
      <c r="F365" s="8">
        <v>666</v>
      </c>
      <c r="G365" s="1">
        <v>20.2</v>
      </c>
      <c r="H365" s="9">
        <v>5.8029999999999999</v>
      </c>
      <c r="I365" s="1">
        <v>14.64</v>
      </c>
      <c r="J365" s="1">
        <v>16.8</v>
      </c>
    </row>
    <row r="366" spans="1:10">
      <c r="A366" s="5">
        <v>9.99</v>
      </c>
      <c r="B366" s="6">
        <v>0.82900000000000007</v>
      </c>
      <c r="C366" s="7">
        <v>18.100000000000001</v>
      </c>
      <c r="D366" s="6">
        <v>0.71799999999999997</v>
      </c>
      <c r="E366" s="1">
        <v>24</v>
      </c>
      <c r="F366" s="8">
        <v>666</v>
      </c>
      <c r="G366" s="1">
        <v>20.2</v>
      </c>
      <c r="H366" s="9">
        <v>8.7799999999999994</v>
      </c>
      <c r="I366" s="1">
        <v>5.29</v>
      </c>
      <c r="J366" s="1">
        <v>21.9</v>
      </c>
    </row>
    <row r="367" spans="1:10">
      <c r="A367" s="5">
        <v>9.59</v>
      </c>
      <c r="B367" s="6">
        <v>0.87900000000000011</v>
      </c>
      <c r="C367" s="7">
        <v>18.100000000000001</v>
      </c>
      <c r="D367" s="6">
        <v>0.71799999999999997</v>
      </c>
      <c r="E367" s="1">
        <v>24</v>
      </c>
      <c r="F367" s="8">
        <v>666</v>
      </c>
      <c r="G367" s="1">
        <v>20.2</v>
      </c>
      <c r="H367" s="9">
        <v>3.5609999999999999</v>
      </c>
      <c r="I367" s="1">
        <v>7.12</v>
      </c>
      <c r="J367" s="1">
        <v>27.5</v>
      </c>
    </row>
    <row r="368" spans="1:10">
      <c r="A368" s="5">
        <v>5.5</v>
      </c>
      <c r="B368" s="6">
        <v>0.91400000000000003</v>
      </c>
      <c r="C368" s="7">
        <v>18.100000000000001</v>
      </c>
      <c r="D368" s="6">
        <v>0.71799999999999997</v>
      </c>
      <c r="E368" s="1">
        <v>24</v>
      </c>
      <c r="F368" s="8">
        <v>666</v>
      </c>
      <c r="G368" s="1">
        <v>20.2</v>
      </c>
      <c r="H368" s="9">
        <v>4.9630000000000001</v>
      </c>
      <c r="I368" s="1">
        <v>14</v>
      </c>
      <c r="J368" s="1">
        <v>21.9</v>
      </c>
    </row>
    <row r="369" spans="1:10">
      <c r="A369" s="5">
        <v>4.24</v>
      </c>
      <c r="B369" s="6">
        <v>1</v>
      </c>
      <c r="C369" s="7">
        <v>18.100000000000001</v>
      </c>
      <c r="D369" s="6">
        <v>0.63100000000000001</v>
      </c>
      <c r="E369" s="1">
        <v>24</v>
      </c>
      <c r="F369" s="8">
        <v>666</v>
      </c>
      <c r="G369" s="1">
        <v>20.2</v>
      </c>
      <c r="H369" s="9">
        <v>3.863</v>
      </c>
      <c r="I369" s="1">
        <v>13.33</v>
      </c>
      <c r="J369" s="1">
        <v>23.1</v>
      </c>
    </row>
    <row r="370" spans="1:10">
      <c r="A370" s="5">
        <v>7.25</v>
      </c>
      <c r="B370" s="6">
        <v>1</v>
      </c>
      <c r="C370" s="7">
        <v>18.100000000000001</v>
      </c>
      <c r="D370" s="6">
        <v>0.63100000000000001</v>
      </c>
      <c r="E370" s="1">
        <v>24</v>
      </c>
      <c r="F370" s="8">
        <v>666</v>
      </c>
      <c r="G370" s="1">
        <v>20.2</v>
      </c>
      <c r="H370" s="9">
        <v>4.97</v>
      </c>
      <c r="I370" s="1">
        <v>3.26</v>
      </c>
      <c r="J370" s="1">
        <v>50</v>
      </c>
    </row>
    <row r="371" spans="1:10">
      <c r="A371" s="5">
        <v>5.32</v>
      </c>
      <c r="B371" s="6">
        <v>0.96799999999999997</v>
      </c>
      <c r="C371" s="7">
        <v>18.100000000000001</v>
      </c>
      <c r="D371" s="6">
        <v>0.63100000000000001</v>
      </c>
      <c r="E371" s="1">
        <v>24</v>
      </c>
      <c r="F371" s="8">
        <v>666</v>
      </c>
      <c r="G371" s="1">
        <v>20.2</v>
      </c>
      <c r="H371" s="9">
        <v>6.6829999999999998</v>
      </c>
      <c r="I371" s="1">
        <v>3.73</v>
      </c>
      <c r="J371" s="1">
        <v>50</v>
      </c>
    </row>
    <row r="372" spans="1:10">
      <c r="A372" s="5">
        <v>7.39</v>
      </c>
      <c r="B372" s="6">
        <v>0.97499999999999998</v>
      </c>
      <c r="C372" s="7">
        <v>18.100000000000001</v>
      </c>
      <c r="D372" s="6">
        <v>0.63100000000000001</v>
      </c>
      <c r="E372" s="1">
        <v>24</v>
      </c>
      <c r="F372" s="8">
        <v>666</v>
      </c>
      <c r="G372" s="1">
        <v>20.2</v>
      </c>
      <c r="H372" s="9">
        <v>7.016</v>
      </c>
      <c r="I372" s="1">
        <v>2.96</v>
      </c>
      <c r="J372" s="1">
        <v>50</v>
      </c>
    </row>
    <row r="373" spans="1:10">
      <c r="A373" s="5">
        <v>3.84</v>
      </c>
      <c r="B373" s="6">
        <v>1</v>
      </c>
      <c r="C373" s="7">
        <v>18.100000000000001</v>
      </c>
      <c r="D373" s="6">
        <v>0.63100000000000001</v>
      </c>
      <c r="E373" s="1">
        <v>24</v>
      </c>
      <c r="F373" s="8">
        <v>666</v>
      </c>
      <c r="G373" s="1">
        <v>20.2</v>
      </c>
      <c r="H373" s="9">
        <v>6.2160000000000002</v>
      </c>
      <c r="I373" s="1">
        <v>9.5299999999999994</v>
      </c>
      <c r="J373" s="1">
        <v>50</v>
      </c>
    </row>
    <row r="374" spans="1:10">
      <c r="A374" s="5">
        <v>1.55</v>
      </c>
      <c r="B374" s="6">
        <v>0.89599999999999991</v>
      </c>
      <c r="C374" s="7">
        <v>18.100000000000001</v>
      </c>
      <c r="D374" s="6">
        <v>0.66800000000000004</v>
      </c>
      <c r="E374" s="1">
        <v>24</v>
      </c>
      <c r="F374" s="8">
        <v>666</v>
      </c>
      <c r="G374" s="1">
        <v>20.2</v>
      </c>
      <c r="H374" s="9">
        <v>5.875</v>
      </c>
      <c r="I374" s="1">
        <v>8.8800000000000008</v>
      </c>
      <c r="J374" s="1">
        <v>50</v>
      </c>
    </row>
    <row r="375" spans="1:10">
      <c r="A375" s="5">
        <v>5.96</v>
      </c>
      <c r="B375" s="6">
        <v>1</v>
      </c>
      <c r="C375" s="7">
        <v>18.100000000000001</v>
      </c>
      <c r="D375" s="6">
        <v>0.66800000000000004</v>
      </c>
      <c r="E375" s="1">
        <v>24</v>
      </c>
      <c r="F375" s="8">
        <v>666</v>
      </c>
      <c r="G375" s="1">
        <v>20.2</v>
      </c>
      <c r="H375" s="9">
        <v>4.9059999999999997</v>
      </c>
      <c r="I375" s="1">
        <v>34.770000000000003</v>
      </c>
      <c r="J375" s="1">
        <v>13.8</v>
      </c>
    </row>
    <row r="376" spans="1:10">
      <c r="A376" s="5">
        <v>0.71</v>
      </c>
      <c r="B376" s="6">
        <v>1</v>
      </c>
      <c r="C376" s="7">
        <v>18.100000000000001</v>
      </c>
      <c r="D376" s="6">
        <v>0.66800000000000004</v>
      </c>
      <c r="E376" s="1">
        <v>24</v>
      </c>
      <c r="F376" s="8">
        <v>666</v>
      </c>
      <c r="G376" s="1">
        <v>20.2</v>
      </c>
      <c r="H376" s="9">
        <v>4.1379999999999999</v>
      </c>
      <c r="I376" s="1">
        <v>37.97</v>
      </c>
      <c r="J376" s="1">
        <v>13.8</v>
      </c>
    </row>
    <row r="377" spans="1:10">
      <c r="A377" s="5">
        <v>3.12</v>
      </c>
      <c r="B377" s="6">
        <v>0.97900000000000009</v>
      </c>
      <c r="C377" s="7">
        <v>18.100000000000001</v>
      </c>
      <c r="D377" s="6">
        <v>0.67100000000000004</v>
      </c>
      <c r="E377" s="1">
        <v>24</v>
      </c>
      <c r="F377" s="8">
        <v>666</v>
      </c>
      <c r="G377" s="1">
        <v>20.2</v>
      </c>
      <c r="H377" s="9">
        <v>7.3129999999999997</v>
      </c>
      <c r="I377" s="1">
        <v>13.44</v>
      </c>
      <c r="J377" s="1">
        <v>15</v>
      </c>
    </row>
    <row r="378" spans="1:10">
      <c r="A378" s="5">
        <v>5.89</v>
      </c>
      <c r="B378" s="6">
        <v>0.93299999999999994</v>
      </c>
      <c r="C378" s="7">
        <v>18.100000000000001</v>
      </c>
      <c r="D378" s="6">
        <v>0.67100000000000004</v>
      </c>
      <c r="E378" s="1">
        <v>24</v>
      </c>
      <c r="F378" s="8">
        <v>666</v>
      </c>
      <c r="G378" s="1">
        <v>20.2</v>
      </c>
      <c r="H378" s="9">
        <v>6.649</v>
      </c>
      <c r="I378" s="1">
        <v>23.24</v>
      </c>
      <c r="J378" s="1">
        <v>13.9</v>
      </c>
    </row>
    <row r="379" spans="1:10">
      <c r="A379" s="5">
        <v>3.08</v>
      </c>
      <c r="B379" s="6">
        <v>0.98799999999999999</v>
      </c>
      <c r="C379" s="7">
        <v>18.100000000000001</v>
      </c>
      <c r="D379" s="6">
        <v>0.67100000000000004</v>
      </c>
      <c r="E379" s="1">
        <v>24</v>
      </c>
      <c r="F379" s="8">
        <v>666</v>
      </c>
      <c r="G379" s="1">
        <v>20.2</v>
      </c>
      <c r="H379" s="9">
        <v>6.7939999999999996</v>
      </c>
      <c r="I379" s="1">
        <v>21.24</v>
      </c>
      <c r="J379" s="1">
        <v>13.3</v>
      </c>
    </row>
    <row r="380" spans="1:10">
      <c r="A380" s="5">
        <v>2.82</v>
      </c>
      <c r="B380" s="6">
        <v>0.96200000000000008</v>
      </c>
      <c r="C380" s="7">
        <v>18.100000000000001</v>
      </c>
      <c r="D380" s="6">
        <v>0.67100000000000004</v>
      </c>
      <c r="E380" s="1">
        <v>24</v>
      </c>
      <c r="F380" s="8">
        <v>666</v>
      </c>
      <c r="G380" s="1">
        <v>20.2</v>
      </c>
      <c r="H380" s="9">
        <v>6.38</v>
      </c>
      <c r="I380" s="1">
        <v>23.69</v>
      </c>
      <c r="J380" s="1">
        <v>13.1</v>
      </c>
    </row>
    <row r="381" spans="1:10">
      <c r="A381" s="5">
        <v>9.75</v>
      </c>
      <c r="B381" s="6">
        <v>1</v>
      </c>
      <c r="C381" s="7">
        <v>18.100000000000001</v>
      </c>
      <c r="D381" s="6">
        <v>0.67100000000000004</v>
      </c>
      <c r="E381" s="1">
        <v>24</v>
      </c>
      <c r="F381" s="8">
        <v>666</v>
      </c>
      <c r="G381" s="1">
        <v>20.2</v>
      </c>
      <c r="H381" s="9">
        <v>6.2229999999999999</v>
      </c>
      <c r="I381" s="1">
        <v>21.78</v>
      </c>
      <c r="J381" s="1">
        <v>10.199999999999999</v>
      </c>
    </row>
    <row r="382" spans="1:10">
      <c r="A382" s="5">
        <v>0.21</v>
      </c>
      <c r="B382" s="6">
        <v>0.91900000000000004</v>
      </c>
      <c r="C382" s="7">
        <v>18.100000000000001</v>
      </c>
      <c r="D382" s="6">
        <v>0.67100000000000004</v>
      </c>
      <c r="E382" s="1">
        <v>24</v>
      </c>
      <c r="F382" s="8">
        <v>666</v>
      </c>
      <c r="G382" s="1">
        <v>20.2</v>
      </c>
      <c r="H382" s="9">
        <v>6.968</v>
      </c>
      <c r="I382" s="1">
        <v>17.21</v>
      </c>
      <c r="J382" s="1">
        <v>10.4</v>
      </c>
    </row>
    <row r="383" spans="1:10">
      <c r="A383" s="5">
        <v>5.69</v>
      </c>
      <c r="B383" s="6">
        <v>0.99099999999999999</v>
      </c>
      <c r="C383" s="7">
        <v>18.100000000000001</v>
      </c>
      <c r="D383" s="6">
        <v>0.67100000000000004</v>
      </c>
      <c r="E383" s="1">
        <v>24</v>
      </c>
      <c r="F383" s="8">
        <v>666</v>
      </c>
      <c r="G383" s="1">
        <v>20.2</v>
      </c>
      <c r="H383" s="9">
        <v>6.5449999999999999</v>
      </c>
      <c r="I383" s="1">
        <v>21.08</v>
      </c>
      <c r="J383" s="1">
        <v>10.9</v>
      </c>
    </row>
    <row r="384" spans="1:10">
      <c r="A384" s="5">
        <v>7.68</v>
      </c>
      <c r="B384" s="6">
        <v>1</v>
      </c>
      <c r="C384" s="7">
        <v>18.100000000000001</v>
      </c>
      <c r="D384" s="6">
        <v>0.7</v>
      </c>
      <c r="E384" s="1">
        <v>24</v>
      </c>
      <c r="F384" s="8">
        <v>666</v>
      </c>
      <c r="G384" s="1">
        <v>20.2</v>
      </c>
      <c r="H384" s="9">
        <v>5.5359999999999996</v>
      </c>
      <c r="I384" s="1">
        <v>23.6</v>
      </c>
      <c r="J384" s="1">
        <v>11.3</v>
      </c>
    </row>
    <row r="385" spans="1:10">
      <c r="A385" s="5">
        <v>8.7899999999999991</v>
      </c>
      <c r="B385" s="6">
        <v>1</v>
      </c>
      <c r="C385" s="7">
        <v>18.100000000000001</v>
      </c>
      <c r="D385" s="6">
        <v>0.7</v>
      </c>
      <c r="E385" s="1">
        <v>24</v>
      </c>
      <c r="F385" s="8">
        <v>666</v>
      </c>
      <c r="G385" s="1">
        <v>20.2</v>
      </c>
      <c r="H385" s="9">
        <v>5.52</v>
      </c>
      <c r="I385" s="1">
        <v>24.56</v>
      </c>
      <c r="J385" s="1">
        <v>12.3</v>
      </c>
    </row>
    <row r="386" spans="1:10">
      <c r="A386" s="5">
        <v>3.49</v>
      </c>
      <c r="B386" s="6">
        <v>0.91200000000000003</v>
      </c>
      <c r="C386" s="7">
        <v>18.100000000000001</v>
      </c>
      <c r="D386" s="6">
        <v>0.7</v>
      </c>
      <c r="E386" s="1">
        <v>24</v>
      </c>
      <c r="F386" s="8">
        <v>666</v>
      </c>
      <c r="G386" s="1">
        <v>20.2</v>
      </c>
      <c r="H386" s="9">
        <v>4.3680000000000003</v>
      </c>
      <c r="I386" s="1">
        <v>30.63</v>
      </c>
      <c r="J386" s="1">
        <v>8.8000000000000007</v>
      </c>
    </row>
    <row r="387" spans="1:10">
      <c r="A387" s="5">
        <v>2.81</v>
      </c>
      <c r="B387" s="6">
        <v>0.98099999999999998</v>
      </c>
      <c r="C387" s="7">
        <v>18.100000000000001</v>
      </c>
      <c r="D387" s="6">
        <v>0.7</v>
      </c>
      <c r="E387" s="1">
        <v>24</v>
      </c>
      <c r="F387" s="8">
        <v>666</v>
      </c>
      <c r="G387" s="1">
        <v>20.2</v>
      </c>
      <c r="H387" s="9">
        <v>5.2770000000000001</v>
      </c>
      <c r="I387" s="1">
        <v>30.81</v>
      </c>
      <c r="J387" s="1">
        <v>7.2</v>
      </c>
    </row>
    <row r="388" spans="1:10">
      <c r="A388" s="5">
        <v>7.47</v>
      </c>
      <c r="B388" s="6">
        <v>1</v>
      </c>
      <c r="C388" s="7">
        <v>18.100000000000001</v>
      </c>
      <c r="D388" s="6">
        <v>0.7</v>
      </c>
      <c r="E388" s="1">
        <v>24</v>
      </c>
      <c r="F388" s="8">
        <v>666</v>
      </c>
      <c r="G388" s="1">
        <v>20.2</v>
      </c>
      <c r="H388" s="9">
        <v>4.6520000000000001</v>
      </c>
      <c r="I388" s="1">
        <v>28.28</v>
      </c>
      <c r="J388" s="1">
        <v>10.5</v>
      </c>
    </row>
    <row r="389" spans="1:10">
      <c r="A389" s="5">
        <v>0.38</v>
      </c>
      <c r="B389" s="6">
        <v>0.89500000000000002</v>
      </c>
      <c r="C389" s="7">
        <v>18.100000000000001</v>
      </c>
      <c r="D389" s="6">
        <v>0.7</v>
      </c>
      <c r="E389" s="1">
        <v>24</v>
      </c>
      <c r="F389" s="8">
        <v>666</v>
      </c>
      <c r="G389" s="1">
        <v>20.2</v>
      </c>
      <c r="H389" s="9">
        <v>5</v>
      </c>
      <c r="I389" s="1">
        <v>31.99</v>
      </c>
      <c r="J389" s="1">
        <v>7.4</v>
      </c>
    </row>
    <row r="390" spans="1:10">
      <c r="A390" s="5">
        <v>5.7</v>
      </c>
      <c r="B390" s="6">
        <v>1</v>
      </c>
      <c r="C390" s="7">
        <v>18.100000000000001</v>
      </c>
      <c r="D390" s="6">
        <v>0.7</v>
      </c>
      <c r="E390" s="1">
        <v>24</v>
      </c>
      <c r="F390" s="8">
        <v>666</v>
      </c>
      <c r="G390" s="1">
        <v>20.2</v>
      </c>
      <c r="H390" s="9">
        <v>4.88</v>
      </c>
      <c r="I390" s="1">
        <v>30.62</v>
      </c>
      <c r="J390" s="1">
        <v>10.199999999999999</v>
      </c>
    </row>
    <row r="391" spans="1:10">
      <c r="A391" s="5">
        <v>5.63</v>
      </c>
      <c r="B391" s="6">
        <v>0.9890000000000001</v>
      </c>
      <c r="C391" s="7">
        <v>18.100000000000001</v>
      </c>
      <c r="D391" s="6">
        <v>0.7</v>
      </c>
      <c r="E391" s="1">
        <v>24</v>
      </c>
      <c r="F391" s="8">
        <v>666</v>
      </c>
      <c r="G391" s="1">
        <v>20.2</v>
      </c>
      <c r="H391" s="9">
        <v>5.39</v>
      </c>
      <c r="I391" s="1">
        <v>20.85</v>
      </c>
      <c r="J391" s="1">
        <v>11.5</v>
      </c>
    </row>
    <row r="392" spans="1:10">
      <c r="A392" s="5">
        <v>9.56</v>
      </c>
      <c r="B392" s="6">
        <v>0.97</v>
      </c>
      <c r="C392" s="7">
        <v>18.100000000000001</v>
      </c>
      <c r="D392" s="6">
        <v>0.7</v>
      </c>
      <c r="E392" s="1">
        <v>24</v>
      </c>
      <c r="F392" s="8">
        <v>666</v>
      </c>
      <c r="G392" s="1">
        <v>20.2</v>
      </c>
      <c r="H392" s="9">
        <v>5.7130000000000001</v>
      </c>
      <c r="I392" s="1">
        <v>17.11</v>
      </c>
      <c r="J392" s="1">
        <v>15.1</v>
      </c>
    </row>
    <row r="393" spans="1:10">
      <c r="A393" s="5">
        <v>0.74</v>
      </c>
      <c r="B393" s="6">
        <v>0.82500000000000007</v>
      </c>
      <c r="C393" s="7">
        <v>18.100000000000001</v>
      </c>
      <c r="D393" s="6">
        <v>0.7</v>
      </c>
      <c r="E393" s="1">
        <v>24</v>
      </c>
      <c r="F393" s="8">
        <v>666</v>
      </c>
      <c r="G393" s="1">
        <v>20.2</v>
      </c>
      <c r="H393" s="9">
        <v>6.0510000000000002</v>
      </c>
      <c r="I393" s="1">
        <v>18.760000000000002</v>
      </c>
      <c r="J393" s="1">
        <v>23.2</v>
      </c>
    </row>
    <row r="394" spans="1:10">
      <c r="A394" s="5">
        <v>0.06</v>
      </c>
      <c r="B394" s="6">
        <v>0.97</v>
      </c>
      <c r="C394" s="7">
        <v>18.100000000000001</v>
      </c>
      <c r="D394" s="6">
        <v>0.7</v>
      </c>
      <c r="E394" s="1">
        <v>24</v>
      </c>
      <c r="F394" s="8">
        <v>666</v>
      </c>
      <c r="G394" s="1">
        <v>20.2</v>
      </c>
      <c r="H394" s="9">
        <v>5.0359999999999996</v>
      </c>
      <c r="I394" s="1">
        <v>25.68</v>
      </c>
      <c r="J394" s="1">
        <v>9.6999999999999993</v>
      </c>
    </row>
    <row r="395" spans="1:10">
      <c r="A395" s="5">
        <v>0.46</v>
      </c>
      <c r="B395" s="6">
        <v>0.92599999999999993</v>
      </c>
      <c r="C395" s="7">
        <v>18.100000000000001</v>
      </c>
      <c r="D395" s="6">
        <v>0.69299999999999995</v>
      </c>
      <c r="E395" s="1">
        <v>24</v>
      </c>
      <c r="F395" s="8">
        <v>666</v>
      </c>
      <c r="G395" s="1">
        <v>20.2</v>
      </c>
      <c r="H395" s="9">
        <v>6.1929999999999996</v>
      </c>
      <c r="I395" s="1">
        <v>15.17</v>
      </c>
      <c r="J395" s="1">
        <v>13.8</v>
      </c>
    </row>
    <row r="396" spans="1:10">
      <c r="A396" s="5">
        <v>1.28</v>
      </c>
      <c r="B396" s="6">
        <v>0.94700000000000006</v>
      </c>
      <c r="C396" s="7">
        <v>18.100000000000001</v>
      </c>
      <c r="D396" s="6">
        <v>0.69299999999999995</v>
      </c>
      <c r="E396" s="1">
        <v>24</v>
      </c>
      <c r="F396" s="8">
        <v>666</v>
      </c>
      <c r="G396" s="1">
        <v>20.2</v>
      </c>
      <c r="H396" s="9">
        <v>5.8869999999999996</v>
      </c>
      <c r="I396" s="1">
        <v>16.350000000000001</v>
      </c>
      <c r="J396" s="1">
        <v>12.7</v>
      </c>
    </row>
    <row r="397" spans="1:10">
      <c r="A397" s="5">
        <v>5.24</v>
      </c>
      <c r="B397" s="6">
        <v>0.98799999999999999</v>
      </c>
      <c r="C397" s="7">
        <v>18.100000000000001</v>
      </c>
      <c r="D397" s="6">
        <v>0.69299999999999995</v>
      </c>
      <c r="E397" s="1">
        <v>24</v>
      </c>
      <c r="F397" s="8">
        <v>666</v>
      </c>
      <c r="G397" s="1">
        <v>20.2</v>
      </c>
      <c r="H397" s="9">
        <v>6.4710000000000001</v>
      </c>
      <c r="I397" s="1">
        <v>17.12</v>
      </c>
      <c r="J397" s="1">
        <v>13.1</v>
      </c>
    </row>
    <row r="398" spans="1:10">
      <c r="A398" s="5">
        <v>4.78</v>
      </c>
      <c r="B398" s="6">
        <v>0.96</v>
      </c>
      <c r="C398" s="7">
        <v>18.100000000000001</v>
      </c>
      <c r="D398" s="6">
        <v>0.69299999999999995</v>
      </c>
      <c r="E398" s="1">
        <v>24</v>
      </c>
      <c r="F398" s="8">
        <v>666</v>
      </c>
      <c r="G398" s="1">
        <v>20.2</v>
      </c>
      <c r="H398" s="9">
        <v>6.4050000000000002</v>
      </c>
      <c r="I398" s="1">
        <v>19.37</v>
      </c>
      <c r="J398" s="1">
        <v>12.5</v>
      </c>
    </row>
    <row r="399" spans="1:10">
      <c r="A399" s="5">
        <v>5.8</v>
      </c>
      <c r="B399" s="6">
        <v>0.9890000000000001</v>
      </c>
      <c r="C399" s="7">
        <v>18.100000000000001</v>
      </c>
      <c r="D399" s="6">
        <v>0.69299999999999995</v>
      </c>
      <c r="E399" s="1">
        <v>24</v>
      </c>
      <c r="F399" s="8">
        <v>666</v>
      </c>
      <c r="G399" s="1">
        <v>20.2</v>
      </c>
      <c r="H399" s="9">
        <v>5.7469999999999999</v>
      </c>
      <c r="I399" s="1">
        <v>19.920000000000002</v>
      </c>
      <c r="J399" s="1">
        <v>8.5</v>
      </c>
    </row>
    <row r="400" spans="1:10">
      <c r="A400" s="5">
        <v>1.22</v>
      </c>
      <c r="B400" s="6">
        <v>1</v>
      </c>
      <c r="C400" s="7">
        <v>18.100000000000001</v>
      </c>
      <c r="D400" s="6">
        <v>0.69299999999999995</v>
      </c>
      <c r="E400" s="1">
        <v>24</v>
      </c>
      <c r="F400" s="8">
        <v>666</v>
      </c>
      <c r="G400" s="1">
        <v>20.2</v>
      </c>
      <c r="H400" s="9">
        <v>5.4530000000000003</v>
      </c>
      <c r="I400" s="1">
        <v>30.59</v>
      </c>
      <c r="J400" s="1">
        <v>5</v>
      </c>
    </row>
    <row r="401" spans="1:10">
      <c r="A401" s="5">
        <v>5.93</v>
      </c>
      <c r="B401" s="6">
        <v>0.77800000000000002</v>
      </c>
      <c r="C401" s="7">
        <v>18.100000000000001</v>
      </c>
      <c r="D401" s="6">
        <v>0.69299999999999995</v>
      </c>
      <c r="E401" s="1">
        <v>24</v>
      </c>
      <c r="F401" s="8">
        <v>666</v>
      </c>
      <c r="G401" s="1">
        <v>20.2</v>
      </c>
      <c r="H401" s="9">
        <v>5.8520000000000003</v>
      </c>
      <c r="I401" s="1">
        <v>29.97</v>
      </c>
      <c r="J401" s="1">
        <v>6.3</v>
      </c>
    </row>
    <row r="402" spans="1:10">
      <c r="A402" s="5">
        <v>4.1399999999999997</v>
      </c>
      <c r="B402" s="6">
        <v>1</v>
      </c>
      <c r="C402" s="7">
        <v>18.100000000000001</v>
      </c>
      <c r="D402" s="6">
        <v>0.69299999999999995</v>
      </c>
      <c r="E402" s="1">
        <v>24</v>
      </c>
      <c r="F402" s="8">
        <v>666</v>
      </c>
      <c r="G402" s="1">
        <v>20.2</v>
      </c>
      <c r="H402" s="9">
        <v>5.9870000000000001</v>
      </c>
      <c r="I402" s="1">
        <v>26.77</v>
      </c>
      <c r="J402" s="1">
        <v>5.6</v>
      </c>
    </row>
    <row r="403" spans="1:10">
      <c r="A403" s="5">
        <v>1.3</v>
      </c>
      <c r="B403" s="6">
        <v>1</v>
      </c>
      <c r="C403" s="7">
        <v>18.100000000000001</v>
      </c>
      <c r="D403" s="6">
        <v>0.69299999999999995</v>
      </c>
      <c r="E403" s="1">
        <v>24</v>
      </c>
      <c r="F403" s="8">
        <v>666</v>
      </c>
      <c r="G403" s="1">
        <v>20.2</v>
      </c>
      <c r="H403" s="9">
        <v>6.343</v>
      </c>
      <c r="I403" s="1">
        <v>20.32</v>
      </c>
      <c r="J403" s="1">
        <v>7.2</v>
      </c>
    </row>
    <row r="404" spans="1:10">
      <c r="A404" s="5">
        <v>8.65</v>
      </c>
      <c r="B404" s="6">
        <v>1</v>
      </c>
      <c r="C404" s="7">
        <v>18.100000000000001</v>
      </c>
      <c r="D404" s="6">
        <v>0.69299999999999995</v>
      </c>
      <c r="E404" s="1">
        <v>24</v>
      </c>
      <c r="F404" s="8">
        <v>666</v>
      </c>
      <c r="G404" s="1">
        <v>20.2</v>
      </c>
      <c r="H404" s="9">
        <v>6.4039999999999999</v>
      </c>
      <c r="I404" s="1">
        <v>20.309999999999999</v>
      </c>
      <c r="J404" s="1">
        <v>12.1</v>
      </c>
    </row>
    <row r="405" spans="1:10">
      <c r="A405" s="5">
        <v>4</v>
      </c>
      <c r="B405" s="6">
        <v>0.96</v>
      </c>
      <c r="C405" s="7">
        <v>18.100000000000001</v>
      </c>
      <c r="D405" s="6">
        <v>0.69299999999999995</v>
      </c>
      <c r="E405" s="1">
        <v>24</v>
      </c>
      <c r="F405" s="8">
        <v>666</v>
      </c>
      <c r="G405" s="1">
        <v>20.2</v>
      </c>
      <c r="H405" s="9">
        <v>5.3490000000000002</v>
      </c>
      <c r="I405" s="1">
        <v>19.77</v>
      </c>
      <c r="J405" s="1">
        <v>8.3000000000000007</v>
      </c>
    </row>
    <row r="406" spans="1:10">
      <c r="A406" s="5">
        <v>0.74</v>
      </c>
      <c r="B406" s="6">
        <v>0.85400000000000009</v>
      </c>
      <c r="C406" s="7">
        <v>18.100000000000001</v>
      </c>
      <c r="D406" s="6">
        <v>0.69299999999999995</v>
      </c>
      <c r="E406" s="1">
        <v>24</v>
      </c>
      <c r="F406" s="8">
        <v>666</v>
      </c>
      <c r="G406" s="1">
        <v>20.2</v>
      </c>
      <c r="H406" s="9">
        <v>5.5309999999999997</v>
      </c>
      <c r="I406" s="1">
        <v>27.38</v>
      </c>
      <c r="J406" s="1">
        <v>8.5</v>
      </c>
    </row>
    <row r="407" spans="1:10">
      <c r="A407" s="5">
        <v>1.1599999999999999</v>
      </c>
      <c r="B407" s="6">
        <v>1</v>
      </c>
      <c r="C407" s="7">
        <v>18.100000000000001</v>
      </c>
      <c r="D407" s="6">
        <v>0.69299999999999995</v>
      </c>
      <c r="E407" s="1">
        <v>24</v>
      </c>
      <c r="F407" s="8">
        <v>666</v>
      </c>
      <c r="G407" s="1">
        <v>20.2</v>
      </c>
      <c r="H407" s="9">
        <v>5.6829999999999998</v>
      </c>
      <c r="I407" s="1">
        <v>22.98</v>
      </c>
      <c r="J407" s="1">
        <v>5</v>
      </c>
    </row>
    <row r="408" spans="1:10">
      <c r="A408" s="5">
        <v>4.8899999999999997</v>
      </c>
      <c r="B408" s="6">
        <v>1</v>
      </c>
      <c r="C408" s="7">
        <v>18.100000000000001</v>
      </c>
      <c r="D408" s="6">
        <v>0.65900000000000003</v>
      </c>
      <c r="E408" s="1">
        <v>24</v>
      </c>
      <c r="F408" s="8">
        <v>666</v>
      </c>
      <c r="G408" s="1">
        <v>20.2</v>
      </c>
      <c r="H408" s="9">
        <v>4.1379999999999999</v>
      </c>
      <c r="I408" s="1">
        <v>23.34</v>
      </c>
      <c r="J408" s="1">
        <v>11.9</v>
      </c>
    </row>
    <row r="409" spans="1:10">
      <c r="A409" s="5">
        <v>1.65</v>
      </c>
      <c r="B409" s="6">
        <v>1</v>
      </c>
      <c r="C409" s="7">
        <v>18.100000000000001</v>
      </c>
      <c r="D409" s="6">
        <v>0.65900000000000003</v>
      </c>
      <c r="E409" s="1">
        <v>24</v>
      </c>
      <c r="F409" s="8">
        <v>666</v>
      </c>
      <c r="G409" s="1">
        <v>20.2</v>
      </c>
      <c r="H409" s="9">
        <v>5.6079999999999997</v>
      </c>
      <c r="I409" s="1">
        <v>12.13</v>
      </c>
      <c r="J409" s="1">
        <v>27.9</v>
      </c>
    </row>
    <row r="410" spans="1:10">
      <c r="A410" s="5">
        <v>5.75</v>
      </c>
      <c r="B410" s="6">
        <v>0.97900000000000009</v>
      </c>
      <c r="C410" s="7">
        <v>18.100000000000001</v>
      </c>
      <c r="D410" s="6">
        <v>0.59699999999999998</v>
      </c>
      <c r="E410" s="1">
        <v>24</v>
      </c>
      <c r="F410" s="8">
        <v>666</v>
      </c>
      <c r="G410" s="1">
        <v>20.2</v>
      </c>
      <c r="H410" s="9">
        <v>5.617</v>
      </c>
      <c r="I410" s="1">
        <v>26.4</v>
      </c>
      <c r="J410" s="1">
        <v>17.2</v>
      </c>
    </row>
    <row r="411" spans="1:10">
      <c r="A411" s="5">
        <v>8.1300000000000008</v>
      </c>
      <c r="B411" s="6">
        <v>1</v>
      </c>
      <c r="C411" s="7">
        <v>18.100000000000001</v>
      </c>
      <c r="D411" s="6">
        <v>0.59699999999999998</v>
      </c>
      <c r="E411" s="1">
        <v>24</v>
      </c>
      <c r="F411" s="8">
        <v>666</v>
      </c>
      <c r="G411" s="1">
        <v>20.2</v>
      </c>
      <c r="H411" s="9">
        <v>6.8520000000000003</v>
      </c>
      <c r="I411" s="1">
        <v>19.78</v>
      </c>
      <c r="J411" s="1">
        <v>27.5</v>
      </c>
    </row>
    <row r="412" spans="1:10">
      <c r="A412" s="5">
        <v>5</v>
      </c>
      <c r="B412" s="6">
        <v>1</v>
      </c>
      <c r="C412" s="7">
        <v>18.100000000000001</v>
      </c>
      <c r="D412" s="6">
        <v>0.59699999999999998</v>
      </c>
      <c r="E412" s="1">
        <v>24</v>
      </c>
      <c r="F412" s="8">
        <v>666</v>
      </c>
      <c r="G412" s="1">
        <v>20.2</v>
      </c>
      <c r="H412" s="9">
        <v>5.7569999999999997</v>
      </c>
      <c r="I412" s="1">
        <v>10.11</v>
      </c>
      <c r="J412" s="1">
        <v>15</v>
      </c>
    </row>
    <row r="413" spans="1:10">
      <c r="A413" s="5">
        <v>5.84</v>
      </c>
      <c r="B413" s="6">
        <v>1</v>
      </c>
      <c r="C413" s="7">
        <v>18.100000000000001</v>
      </c>
      <c r="D413" s="6">
        <v>0.59699999999999998</v>
      </c>
      <c r="E413" s="1">
        <v>24</v>
      </c>
      <c r="F413" s="8">
        <v>666</v>
      </c>
      <c r="G413" s="1">
        <v>20.2</v>
      </c>
      <c r="H413" s="9">
        <v>6.657</v>
      </c>
      <c r="I413" s="1">
        <v>21.22</v>
      </c>
      <c r="J413" s="1">
        <v>17.2</v>
      </c>
    </row>
    <row r="414" spans="1:10">
      <c r="A414" s="5">
        <v>4.47</v>
      </c>
      <c r="B414" s="6">
        <v>1</v>
      </c>
      <c r="C414" s="7">
        <v>18.100000000000001</v>
      </c>
      <c r="D414" s="6">
        <v>0.59699999999999998</v>
      </c>
      <c r="E414" s="1">
        <v>24</v>
      </c>
      <c r="F414" s="8">
        <v>666</v>
      </c>
      <c r="G414" s="1">
        <v>20.2</v>
      </c>
      <c r="H414" s="9">
        <v>4.6280000000000001</v>
      </c>
      <c r="I414" s="1">
        <v>34.369999999999997</v>
      </c>
      <c r="J414" s="1">
        <v>17.899999999999999</v>
      </c>
    </row>
    <row r="415" spans="1:10">
      <c r="A415" s="5">
        <v>1.83</v>
      </c>
      <c r="B415" s="6">
        <v>1</v>
      </c>
      <c r="C415" s="7">
        <v>18.100000000000001</v>
      </c>
      <c r="D415" s="6">
        <v>0.59699999999999998</v>
      </c>
      <c r="E415" s="1">
        <v>24</v>
      </c>
      <c r="F415" s="8">
        <v>666</v>
      </c>
      <c r="G415" s="1">
        <v>20.2</v>
      </c>
      <c r="H415" s="9">
        <v>5.1550000000000002</v>
      </c>
      <c r="I415" s="1">
        <v>20.079999999999998</v>
      </c>
      <c r="J415" s="1">
        <v>16.3</v>
      </c>
    </row>
    <row r="416" spans="1:10">
      <c r="A416" s="5">
        <v>9.83</v>
      </c>
      <c r="B416" s="6">
        <v>1</v>
      </c>
      <c r="C416" s="7">
        <v>18.100000000000001</v>
      </c>
      <c r="D416" s="6">
        <v>0.69299999999999995</v>
      </c>
      <c r="E416" s="1">
        <v>24</v>
      </c>
      <c r="F416" s="8">
        <v>666</v>
      </c>
      <c r="G416" s="1">
        <v>20.2</v>
      </c>
      <c r="H416" s="9">
        <v>4.5190000000000001</v>
      </c>
      <c r="I416" s="1">
        <v>36.979999999999997</v>
      </c>
      <c r="J416" s="1">
        <v>7</v>
      </c>
    </row>
    <row r="417" spans="1:10">
      <c r="A417" s="5">
        <v>8.66</v>
      </c>
      <c r="B417" s="6">
        <v>1</v>
      </c>
      <c r="C417" s="7">
        <v>18.100000000000001</v>
      </c>
      <c r="D417" s="6">
        <v>0.67900000000000005</v>
      </c>
      <c r="E417" s="1">
        <v>24</v>
      </c>
      <c r="F417" s="8">
        <v>666</v>
      </c>
      <c r="G417" s="1">
        <v>20.2</v>
      </c>
      <c r="H417" s="9">
        <v>6.4340000000000002</v>
      </c>
      <c r="I417" s="1">
        <v>29.05</v>
      </c>
      <c r="J417" s="1">
        <v>7.2</v>
      </c>
    </row>
    <row r="418" spans="1:10">
      <c r="A418" s="5">
        <v>9.66</v>
      </c>
      <c r="B418" s="6">
        <v>0.90800000000000003</v>
      </c>
      <c r="C418" s="7">
        <v>18.100000000000001</v>
      </c>
      <c r="D418" s="6">
        <v>0.67900000000000005</v>
      </c>
      <c r="E418" s="1">
        <v>24</v>
      </c>
      <c r="F418" s="8">
        <v>666</v>
      </c>
      <c r="G418" s="1">
        <v>20.2</v>
      </c>
      <c r="H418" s="9">
        <v>6.782</v>
      </c>
      <c r="I418" s="1">
        <v>25.79</v>
      </c>
      <c r="J418" s="1">
        <v>7.5</v>
      </c>
    </row>
    <row r="419" spans="1:10">
      <c r="A419" s="5">
        <v>9.82</v>
      </c>
      <c r="B419" s="6">
        <v>0.89100000000000001</v>
      </c>
      <c r="C419" s="7">
        <v>18.100000000000001</v>
      </c>
      <c r="D419" s="6">
        <v>0.67900000000000005</v>
      </c>
      <c r="E419" s="1">
        <v>24</v>
      </c>
      <c r="F419" s="8">
        <v>666</v>
      </c>
      <c r="G419" s="1">
        <v>20.2</v>
      </c>
      <c r="H419" s="9">
        <v>5.3040000000000003</v>
      </c>
      <c r="I419" s="1">
        <v>26.64</v>
      </c>
      <c r="J419" s="1">
        <v>10.4</v>
      </c>
    </row>
    <row r="420" spans="1:10">
      <c r="A420" s="5">
        <v>6.11</v>
      </c>
      <c r="B420" s="6">
        <v>1</v>
      </c>
      <c r="C420" s="7">
        <v>18.100000000000001</v>
      </c>
      <c r="D420" s="6">
        <v>0.67900000000000005</v>
      </c>
      <c r="E420" s="1">
        <v>24</v>
      </c>
      <c r="F420" s="8">
        <v>666</v>
      </c>
      <c r="G420" s="1">
        <v>20.2</v>
      </c>
      <c r="H420" s="9">
        <v>5.9569999999999999</v>
      </c>
      <c r="I420" s="1">
        <v>20.62</v>
      </c>
      <c r="J420" s="1">
        <v>8.8000000000000007</v>
      </c>
    </row>
    <row r="421" spans="1:10">
      <c r="A421" s="5">
        <v>5.26</v>
      </c>
      <c r="B421" s="6">
        <v>0.76500000000000001</v>
      </c>
      <c r="C421" s="7">
        <v>18.100000000000001</v>
      </c>
      <c r="D421" s="6">
        <v>0.71799999999999997</v>
      </c>
      <c r="E421" s="1">
        <v>24</v>
      </c>
      <c r="F421" s="8">
        <v>666</v>
      </c>
      <c r="G421" s="1">
        <v>20.2</v>
      </c>
      <c r="H421" s="9">
        <v>6.8239999999999998</v>
      </c>
      <c r="I421" s="1">
        <v>22.74</v>
      </c>
      <c r="J421" s="1">
        <v>8.4</v>
      </c>
    </row>
    <row r="422" spans="1:10">
      <c r="A422" s="5">
        <v>3.8</v>
      </c>
      <c r="B422" s="6">
        <v>1</v>
      </c>
      <c r="C422" s="7">
        <v>18.100000000000001</v>
      </c>
      <c r="D422" s="6">
        <v>0.71799999999999997</v>
      </c>
      <c r="E422" s="1">
        <v>24</v>
      </c>
      <c r="F422" s="8">
        <v>666</v>
      </c>
      <c r="G422" s="1">
        <v>20.2</v>
      </c>
      <c r="H422" s="9">
        <v>6.4109999999999996</v>
      </c>
      <c r="I422" s="1">
        <v>15.02</v>
      </c>
      <c r="J422" s="1">
        <v>16.7</v>
      </c>
    </row>
    <row r="423" spans="1:10">
      <c r="A423" s="5">
        <v>0.1</v>
      </c>
      <c r="B423" s="6">
        <v>0.95299999999999996</v>
      </c>
      <c r="C423" s="7">
        <v>18.100000000000001</v>
      </c>
      <c r="D423" s="6">
        <v>0.71799999999999997</v>
      </c>
      <c r="E423" s="1">
        <v>24</v>
      </c>
      <c r="F423" s="8">
        <v>666</v>
      </c>
      <c r="G423" s="1">
        <v>20.2</v>
      </c>
      <c r="H423" s="9">
        <v>6.0060000000000002</v>
      </c>
      <c r="I423" s="1">
        <v>15.7</v>
      </c>
      <c r="J423" s="1">
        <v>14.2</v>
      </c>
    </row>
    <row r="424" spans="1:10">
      <c r="A424" s="5">
        <v>7.09</v>
      </c>
      <c r="B424" s="6">
        <v>0.876</v>
      </c>
      <c r="C424" s="7">
        <v>18.100000000000001</v>
      </c>
      <c r="D424" s="6">
        <v>0.61399999999999999</v>
      </c>
      <c r="E424" s="1">
        <v>24</v>
      </c>
      <c r="F424" s="8">
        <v>666</v>
      </c>
      <c r="G424" s="1">
        <v>20.2</v>
      </c>
      <c r="H424" s="9">
        <v>5.6479999999999997</v>
      </c>
      <c r="I424" s="1">
        <v>14.1</v>
      </c>
      <c r="J424" s="1">
        <v>20.8</v>
      </c>
    </row>
    <row r="425" spans="1:10">
      <c r="A425" s="5">
        <v>2.08</v>
      </c>
      <c r="B425" s="6">
        <v>0.85099999999999998</v>
      </c>
      <c r="C425" s="7">
        <v>18.100000000000001</v>
      </c>
      <c r="D425" s="6">
        <v>0.61399999999999999</v>
      </c>
      <c r="E425" s="1">
        <v>24</v>
      </c>
      <c r="F425" s="8">
        <v>666</v>
      </c>
      <c r="G425" s="1">
        <v>20.2</v>
      </c>
      <c r="H425" s="9">
        <v>6.1029999999999998</v>
      </c>
      <c r="I425" s="1">
        <v>23.29</v>
      </c>
      <c r="J425" s="1">
        <v>13.4</v>
      </c>
    </row>
    <row r="426" spans="1:10">
      <c r="A426" s="5">
        <v>6.32</v>
      </c>
      <c r="B426" s="6">
        <v>0.70599999999999996</v>
      </c>
      <c r="C426" s="7">
        <v>18.100000000000001</v>
      </c>
      <c r="D426" s="6">
        <v>0.58399999999999996</v>
      </c>
      <c r="E426" s="1">
        <v>24</v>
      </c>
      <c r="F426" s="8">
        <v>666</v>
      </c>
      <c r="G426" s="1">
        <v>20.2</v>
      </c>
      <c r="H426" s="9">
        <v>5.5650000000000004</v>
      </c>
      <c r="I426" s="1">
        <v>17.16</v>
      </c>
      <c r="J426" s="1">
        <v>11.7</v>
      </c>
    </row>
    <row r="427" spans="1:10">
      <c r="A427" s="5">
        <v>1.71</v>
      </c>
      <c r="B427" s="6">
        <v>0.95400000000000007</v>
      </c>
      <c r="C427" s="7">
        <v>18.100000000000001</v>
      </c>
      <c r="D427" s="6">
        <v>0.67900000000000005</v>
      </c>
      <c r="E427" s="1">
        <v>24</v>
      </c>
      <c r="F427" s="8">
        <v>666</v>
      </c>
      <c r="G427" s="1">
        <v>20.2</v>
      </c>
      <c r="H427" s="9">
        <v>5.8959999999999999</v>
      </c>
      <c r="I427" s="1">
        <v>24.39</v>
      </c>
      <c r="J427" s="1">
        <v>8.3000000000000007</v>
      </c>
    </row>
    <row r="428" spans="1:10">
      <c r="A428" s="5">
        <v>4.53</v>
      </c>
      <c r="B428" s="6">
        <v>0.59700000000000009</v>
      </c>
      <c r="C428" s="7">
        <v>18.100000000000001</v>
      </c>
      <c r="D428" s="6">
        <v>0.58399999999999996</v>
      </c>
      <c r="E428" s="1">
        <v>24</v>
      </c>
      <c r="F428" s="8">
        <v>666</v>
      </c>
      <c r="G428" s="1">
        <v>20.2</v>
      </c>
      <c r="H428" s="9">
        <v>5.8369999999999997</v>
      </c>
      <c r="I428" s="1">
        <v>15.69</v>
      </c>
      <c r="J428" s="1">
        <v>10.199999999999999</v>
      </c>
    </row>
    <row r="429" spans="1:10">
      <c r="A429" s="5">
        <v>2.64</v>
      </c>
      <c r="B429" s="6">
        <v>0.78700000000000003</v>
      </c>
      <c r="C429" s="7">
        <v>18.100000000000001</v>
      </c>
      <c r="D429" s="6">
        <v>0.67900000000000005</v>
      </c>
      <c r="E429" s="1">
        <v>24</v>
      </c>
      <c r="F429" s="8">
        <v>666</v>
      </c>
      <c r="G429" s="1">
        <v>20.2</v>
      </c>
      <c r="H429" s="9">
        <v>6.202</v>
      </c>
      <c r="I429" s="1">
        <v>14.52</v>
      </c>
      <c r="J429" s="1">
        <v>10.9</v>
      </c>
    </row>
    <row r="430" spans="1:10">
      <c r="A430" s="5">
        <v>1.78</v>
      </c>
      <c r="B430" s="6">
        <v>0.78099999999999992</v>
      </c>
      <c r="C430" s="7">
        <v>18.100000000000001</v>
      </c>
      <c r="D430" s="6">
        <v>0.67900000000000005</v>
      </c>
      <c r="E430" s="1">
        <v>24</v>
      </c>
      <c r="F430" s="8">
        <v>666</v>
      </c>
      <c r="G430" s="1">
        <v>20.2</v>
      </c>
      <c r="H430" s="9">
        <v>6.1929999999999996</v>
      </c>
      <c r="I430" s="1">
        <v>21.52</v>
      </c>
      <c r="J430" s="1">
        <v>11</v>
      </c>
    </row>
    <row r="431" spans="1:10">
      <c r="A431" s="5">
        <v>6.23</v>
      </c>
      <c r="B431" s="6">
        <v>0.95599999999999996</v>
      </c>
      <c r="C431" s="7">
        <v>18.100000000000001</v>
      </c>
      <c r="D431" s="6">
        <v>0.67900000000000005</v>
      </c>
      <c r="E431" s="1">
        <v>24</v>
      </c>
      <c r="F431" s="8">
        <v>666</v>
      </c>
      <c r="G431" s="1">
        <v>20.2</v>
      </c>
      <c r="H431" s="9">
        <v>6.38</v>
      </c>
      <c r="I431" s="1">
        <v>24.08</v>
      </c>
      <c r="J431" s="1">
        <v>9.5</v>
      </c>
    </row>
    <row r="432" spans="1:10">
      <c r="A432" s="5">
        <v>5.24</v>
      </c>
      <c r="B432" s="6">
        <v>0.86099999999999999</v>
      </c>
      <c r="C432" s="7">
        <v>18.100000000000001</v>
      </c>
      <c r="D432" s="6">
        <v>0.58399999999999996</v>
      </c>
      <c r="E432" s="1">
        <v>24</v>
      </c>
      <c r="F432" s="8">
        <v>666</v>
      </c>
      <c r="G432" s="1">
        <v>20.2</v>
      </c>
      <c r="H432" s="9">
        <v>6.3479999999999999</v>
      </c>
      <c r="I432" s="1">
        <v>17.64</v>
      </c>
      <c r="J432" s="1">
        <v>14.5</v>
      </c>
    </row>
    <row r="433" spans="1:10">
      <c r="A433" s="5">
        <v>6.65</v>
      </c>
      <c r="B433" s="6">
        <v>0.94299999999999995</v>
      </c>
      <c r="C433" s="7">
        <v>18.100000000000001</v>
      </c>
      <c r="D433" s="6">
        <v>0.58399999999999996</v>
      </c>
      <c r="E433" s="1">
        <v>24</v>
      </c>
      <c r="F433" s="8">
        <v>666</v>
      </c>
      <c r="G433" s="1">
        <v>20.2</v>
      </c>
      <c r="H433" s="9">
        <v>6.8330000000000002</v>
      </c>
      <c r="I433" s="1">
        <v>19.690000000000001</v>
      </c>
      <c r="J433" s="1">
        <v>14.1</v>
      </c>
    </row>
    <row r="434" spans="1:10">
      <c r="A434" s="5">
        <v>4.09</v>
      </c>
      <c r="B434" s="6">
        <v>0.748</v>
      </c>
      <c r="C434" s="7">
        <v>18.100000000000001</v>
      </c>
      <c r="D434" s="6">
        <v>0.58399999999999996</v>
      </c>
      <c r="E434" s="1">
        <v>24</v>
      </c>
      <c r="F434" s="8">
        <v>666</v>
      </c>
      <c r="G434" s="1">
        <v>20.2</v>
      </c>
      <c r="H434" s="9">
        <v>6.4249999999999998</v>
      </c>
      <c r="I434" s="1">
        <v>12.03</v>
      </c>
      <c r="J434" s="1">
        <v>16.100000000000001</v>
      </c>
    </row>
    <row r="435" spans="1:10">
      <c r="A435" s="5">
        <v>2.19</v>
      </c>
      <c r="B435" s="6">
        <v>0.87900000000000011</v>
      </c>
      <c r="C435" s="7">
        <v>18.100000000000001</v>
      </c>
      <c r="D435" s="6">
        <v>0.71299999999999997</v>
      </c>
      <c r="E435" s="1">
        <v>24</v>
      </c>
      <c r="F435" s="8">
        <v>666</v>
      </c>
      <c r="G435" s="1">
        <v>20.2</v>
      </c>
      <c r="H435" s="9">
        <v>6.4359999999999999</v>
      </c>
      <c r="I435" s="1">
        <v>16.22</v>
      </c>
      <c r="J435" s="1">
        <v>14.3</v>
      </c>
    </row>
    <row r="436" spans="1:10">
      <c r="A436" s="5">
        <v>3.14</v>
      </c>
      <c r="B436" s="6">
        <v>0.95000000000000007</v>
      </c>
      <c r="C436" s="7">
        <v>18.100000000000001</v>
      </c>
      <c r="D436" s="6">
        <v>0.71299999999999997</v>
      </c>
      <c r="E436" s="1">
        <v>24</v>
      </c>
      <c r="F436" s="8">
        <v>666</v>
      </c>
      <c r="G436" s="1">
        <v>20.2</v>
      </c>
      <c r="H436" s="9">
        <v>6.2080000000000002</v>
      </c>
      <c r="I436" s="1">
        <v>15.17</v>
      </c>
      <c r="J436" s="1">
        <v>11.7</v>
      </c>
    </row>
    <row r="437" spans="1:10">
      <c r="A437" s="5">
        <v>0.75</v>
      </c>
      <c r="B437" s="6">
        <v>0.94599999999999995</v>
      </c>
      <c r="C437" s="7">
        <v>18.100000000000001</v>
      </c>
      <c r="D437" s="6">
        <v>0.74</v>
      </c>
      <c r="E437" s="1">
        <v>24</v>
      </c>
      <c r="F437" s="8">
        <v>666</v>
      </c>
      <c r="G437" s="1">
        <v>20.2</v>
      </c>
      <c r="H437" s="9">
        <v>6.6289999999999996</v>
      </c>
      <c r="I437" s="1">
        <v>23.27</v>
      </c>
      <c r="J437" s="1">
        <v>13.4</v>
      </c>
    </row>
    <row r="438" spans="1:10">
      <c r="A438" s="5">
        <v>9.76</v>
      </c>
      <c r="B438" s="6">
        <v>0.93299999999999994</v>
      </c>
      <c r="C438" s="7">
        <v>18.100000000000001</v>
      </c>
      <c r="D438" s="6">
        <v>0.74</v>
      </c>
      <c r="E438" s="1">
        <v>24</v>
      </c>
      <c r="F438" s="8">
        <v>666</v>
      </c>
      <c r="G438" s="1">
        <v>20.2</v>
      </c>
      <c r="H438" s="9">
        <v>6.4610000000000003</v>
      </c>
      <c r="I438" s="1">
        <v>18.05</v>
      </c>
      <c r="J438" s="1">
        <v>9.6</v>
      </c>
    </row>
    <row r="439" spans="1:10">
      <c r="A439" s="5">
        <v>5.53</v>
      </c>
      <c r="B439" s="6">
        <v>1</v>
      </c>
      <c r="C439" s="7">
        <v>18.100000000000001</v>
      </c>
      <c r="D439" s="6">
        <v>0.74</v>
      </c>
      <c r="E439" s="1">
        <v>24</v>
      </c>
      <c r="F439" s="8">
        <v>666</v>
      </c>
      <c r="G439" s="1">
        <v>20.2</v>
      </c>
      <c r="H439" s="9">
        <v>6.1520000000000001</v>
      </c>
      <c r="I439" s="1">
        <v>26.45</v>
      </c>
      <c r="J439" s="1">
        <v>8.6999999999999993</v>
      </c>
    </row>
    <row r="440" spans="1:10">
      <c r="A440" s="5">
        <v>7.63</v>
      </c>
      <c r="B440" s="6">
        <v>0.87900000000000011</v>
      </c>
      <c r="C440" s="7">
        <v>18.100000000000001</v>
      </c>
      <c r="D440" s="6">
        <v>0.74</v>
      </c>
      <c r="E440" s="1">
        <v>24</v>
      </c>
      <c r="F440" s="8">
        <v>666</v>
      </c>
      <c r="G440" s="1">
        <v>20.2</v>
      </c>
      <c r="H440" s="9">
        <v>5.9349999999999996</v>
      </c>
      <c r="I440" s="1">
        <v>34.020000000000003</v>
      </c>
      <c r="J440" s="1">
        <v>8.4</v>
      </c>
    </row>
    <row r="441" spans="1:10">
      <c r="A441" s="5">
        <v>4.0199999999999996</v>
      </c>
      <c r="B441" s="6">
        <v>0.93900000000000006</v>
      </c>
      <c r="C441" s="7">
        <v>18.100000000000001</v>
      </c>
      <c r="D441" s="6">
        <v>0.74</v>
      </c>
      <c r="E441" s="1">
        <v>24</v>
      </c>
      <c r="F441" s="8">
        <v>666</v>
      </c>
      <c r="G441" s="1">
        <v>20.2</v>
      </c>
      <c r="H441" s="9">
        <v>5.6269999999999998</v>
      </c>
      <c r="I441" s="1">
        <v>22.88</v>
      </c>
      <c r="J441" s="1">
        <v>12.8</v>
      </c>
    </row>
    <row r="442" spans="1:10">
      <c r="A442" s="5">
        <v>6.58</v>
      </c>
      <c r="B442" s="6">
        <v>0.92400000000000004</v>
      </c>
      <c r="C442" s="7">
        <v>18.100000000000001</v>
      </c>
      <c r="D442" s="6">
        <v>0.74</v>
      </c>
      <c r="E442" s="1">
        <v>24</v>
      </c>
      <c r="F442" s="8">
        <v>666</v>
      </c>
      <c r="G442" s="1">
        <v>20.2</v>
      </c>
      <c r="H442" s="9">
        <v>5.8179999999999996</v>
      </c>
      <c r="I442" s="1">
        <v>22.11</v>
      </c>
      <c r="J442" s="1">
        <v>10.5</v>
      </c>
    </row>
    <row r="443" spans="1:10">
      <c r="A443" s="5">
        <v>5.66</v>
      </c>
      <c r="B443" s="6">
        <v>0.97200000000000009</v>
      </c>
      <c r="C443" s="7">
        <v>18.100000000000001</v>
      </c>
      <c r="D443" s="6">
        <v>0.74</v>
      </c>
      <c r="E443" s="1">
        <v>24</v>
      </c>
      <c r="F443" s="8">
        <v>666</v>
      </c>
      <c r="G443" s="1">
        <v>20.2</v>
      </c>
      <c r="H443" s="9">
        <v>6.4059999999999997</v>
      </c>
      <c r="I443" s="1">
        <v>19.52</v>
      </c>
      <c r="J443" s="1">
        <v>17.100000000000001</v>
      </c>
    </row>
    <row r="444" spans="1:10">
      <c r="A444" s="5">
        <v>2.64</v>
      </c>
      <c r="B444" s="6">
        <v>1</v>
      </c>
      <c r="C444" s="7">
        <v>18.100000000000001</v>
      </c>
      <c r="D444" s="6">
        <v>0.74</v>
      </c>
      <c r="E444" s="1">
        <v>24</v>
      </c>
      <c r="F444" s="8">
        <v>666</v>
      </c>
      <c r="G444" s="1">
        <v>20.2</v>
      </c>
      <c r="H444" s="9">
        <v>6.2190000000000003</v>
      </c>
      <c r="I444" s="1">
        <v>16.59</v>
      </c>
      <c r="J444" s="1">
        <v>18.399999999999999</v>
      </c>
    </row>
    <row r="445" spans="1:10">
      <c r="A445" s="5">
        <v>3.26</v>
      </c>
      <c r="B445" s="6">
        <v>1</v>
      </c>
      <c r="C445" s="7">
        <v>18.100000000000001</v>
      </c>
      <c r="D445" s="6">
        <v>0.74</v>
      </c>
      <c r="E445" s="1">
        <v>24</v>
      </c>
      <c r="F445" s="8">
        <v>666</v>
      </c>
      <c r="G445" s="1">
        <v>20.2</v>
      </c>
      <c r="H445" s="9">
        <v>6.4850000000000003</v>
      </c>
      <c r="I445" s="1">
        <v>18.850000000000001</v>
      </c>
      <c r="J445" s="1">
        <v>15.4</v>
      </c>
    </row>
    <row r="446" spans="1:10">
      <c r="A446" s="5">
        <v>8.93</v>
      </c>
      <c r="B446" s="6">
        <v>0.96599999999999997</v>
      </c>
      <c r="C446" s="7">
        <v>18.100000000000001</v>
      </c>
      <c r="D446" s="6">
        <v>0.74</v>
      </c>
      <c r="E446" s="1">
        <v>24</v>
      </c>
      <c r="F446" s="8">
        <v>666</v>
      </c>
      <c r="G446" s="1">
        <v>20.2</v>
      </c>
      <c r="H446" s="9">
        <v>5.8540000000000001</v>
      </c>
      <c r="I446" s="1">
        <v>23.79</v>
      </c>
      <c r="J446" s="1">
        <v>10.8</v>
      </c>
    </row>
    <row r="447" spans="1:10">
      <c r="A447" s="5">
        <v>7.0000000000000007E-2</v>
      </c>
      <c r="B447" s="6">
        <v>0.94799999999999995</v>
      </c>
      <c r="C447" s="7">
        <v>18.100000000000001</v>
      </c>
      <c r="D447" s="6">
        <v>0.74</v>
      </c>
      <c r="E447" s="1">
        <v>24</v>
      </c>
      <c r="F447" s="8">
        <v>666</v>
      </c>
      <c r="G447" s="1">
        <v>20.2</v>
      </c>
      <c r="H447" s="9">
        <v>6.4589999999999996</v>
      </c>
      <c r="I447" s="1">
        <v>23.98</v>
      </c>
      <c r="J447" s="1">
        <v>11.8</v>
      </c>
    </row>
    <row r="448" spans="1:10">
      <c r="A448" s="5">
        <v>9.5399999999999991</v>
      </c>
      <c r="B448" s="6">
        <v>0.96400000000000008</v>
      </c>
      <c r="C448" s="7">
        <v>18.100000000000001</v>
      </c>
      <c r="D448" s="6">
        <v>0.74</v>
      </c>
      <c r="E448" s="1">
        <v>24</v>
      </c>
      <c r="F448" s="8">
        <v>666</v>
      </c>
      <c r="G448" s="1">
        <v>20.2</v>
      </c>
      <c r="H448" s="9">
        <v>6.3410000000000002</v>
      </c>
      <c r="I448" s="1">
        <v>17.79</v>
      </c>
      <c r="J448" s="1">
        <v>14.9</v>
      </c>
    </row>
    <row r="449" spans="1:10">
      <c r="A449" s="5">
        <v>6.36</v>
      </c>
      <c r="B449" s="6">
        <v>0.96599999999999997</v>
      </c>
      <c r="C449" s="7">
        <v>18.100000000000001</v>
      </c>
      <c r="D449" s="6">
        <v>0.74</v>
      </c>
      <c r="E449" s="1">
        <v>24</v>
      </c>
      <c r="F449" s="8">
        <v>666</v>
      </c>
      <c r="G449" s="1">
        <v>20.2</v>
      </c>
      <c r="H449" s="9">
        <v>6.2510000000000003</v>
      </c>
      <c r="I449" s="1">
        <v>16.440000000000001</v>
      </c>
      <c r="J449" s="1">
        <v>12.6</v>
      </c>
    </row>
    <row r="450" spans="1:10">
      <c r="A450" s="5">
        <v>7.8</v>
      </c>
      <c r="B450" s="6">
        <v>0.9870000000000001</v>
      </c>
      <c r="C450" s="7">
        <v>18.100000000000001</v>
      </c>
      <c r="D450" s="6">
        <v>0.71299999999999997</v>
      </c>
      <c r="E450" s="1">
        <v>24</v>
      </c>
      <c r="F450" s="8">
        <v>666</v>
      </c>
      <c r="G450" s="1">
        <v>20.2</v>
      </c>
      <c r="H450" s="9">
        <v>6.1849999999999996</v>
      </c>
      <c r="I450" s="1">
        <v>18.13</v>
      </c>
      <c r="J450" s="1">
        <v>14.1</v>
      </c>
    </row>
    <row r="451" spans="1:10">
      <c r="A451" s="5">
        <v>3.67</v>
      </c>
      <c r="B451" s="6">
        <v>0.98299999999999998</v>
      </c>
      <c r="C451" s="7">
        <v>18.100000000000001</v>
      </c>
      <c r="D451" s="6">
        <v>0.71299999999999997</v>
      </c>
      <c r="E451" s="1">
        <v>24</v>
      </c>
      <c r="F451" s="8">
        <v>666</v>
      </c>
      <c r="G451" s="1">
        <v>20.2</v>
      </c>
      <c r="H451" s="9">
        <v>6.4169999999999998</v>
      </c>
      <c r="I451" s="1">
        <v>19.309999999999999</v>
      </c>
      <c r="J451" s="1">
        <v>13</v>
      </c>
    </row>
    <row r="452" spans="1:10">
      <c r="A452" s="5">
        <v>0.75</v>
      </c>
      <c r="B452" s="6">
        <v>0.92599999999999993</v>
      </c>
      <c r="C452" s="7">
        <v>18.100000000000001</v>
      </c>
      <c r="D452" s="6">
        <v>0.71299999999999997</v>
      </c>
      <c r="E452" s="1">
        <v>24</v>
      </c>
      <c r="F452" s="8">
        <v>666</v>
      </c>
      <c r="G452" s="1">
        <v>20.2</v>
      </c>
      <c r="H452" s="9">
        <v>6.7489999999999997</v>
      </c>
      <c r="I452" s="1">
        <v>17.440000000000001</v>
      </c>
      <c r="J452" s="1">
        <v>13.4</v>
      </c>
    </row>
    <row r="453" spans="1:10">
      <c r="A453" s="5">
        <v>7.52</v>
      </c>
      <c r="B453" s="6">
        <v>0.9820000000000001</v>
      </c>
      <c r="C453" s="7">
        <v>18.100000000000001</v>
      </c>
      <c r="D453" s="6">
        <v>0.71299999999999997</v>
      </c>
      <c r="E453" s="1">
        <v>24</v>
      </c>
      <c r="F453" s="8">
        <v>666</v>
      </c>
      <c r="G453" s="1">
        <v>20.2</v>
      </c>
      <c r="H453" s="9">
        <v>6.6550000000000002</v>
      </c>
      <c r="I453" s="1">
        <v>17.73</v>
      </c>
      <c r="J453" s="1">
        <v>15.2</v>
      </c>
    </row>
    <row r="454" spans="1:10">
      <c r="A454" s="5">
        <v>9.14</v>
      </c>
      <c r="B454" s="6">
        <v>0.91800000000000004</v>
      </c>
      <c r="C454" s="7">
        <v>18.100000000000001</v>
      </c>
      <c r="D454" s="6">
        <v>0.71299999999999997</v>
      </c>
      <c r="E454" s="1">
        <v>24</v>
      </c>
      <c r="F454" s="8">
        <v>666</v>
      </c>
      <c r="G454" s="1">
        <v>20.2</v>
      </c>
      <c r="H454" s="9">
        <v>6.2969999999999997</v>
      </c>
      <c r="I454" s="1">
        <v>17.27</v>
      </c>
      <c r="J454" s="1">
        <v>16.100000000000001</v>
      </c>
    </row>
    <row r="455" spans="1:10">
      <c r="A455" s="5">
        <v>4.82</v>
      </c>
      <c r="B455" s="6">
        <v>0.99299999999999999</v>
      </c>
      <c r="C455" s="7">
        <v>18.100000000000001</v>
      </c>
      <c r="D455" s="6">
        <v>0.71299999999999997</v>
      </c>
      <c r="E455" s="1">
        <v>24</v>
      </c>
      <c r="F455" s="8">
        <v>666</v>
      </c>
      <c r="G455" s="1">
        <v>20.2</v>
      </c>
      <c r="H455" s="9">
        <v>7.3929999999999998</v>
      </c>
      <c r="I455" s="1">
        <v>16.739999999999998</v>
      </c>
      <c r="J455" s="1">
        <v>17.8</v>
      </c>
    </row>
    <row r="456" spans="1:10">
      <c r="A456" s="5">
        <v>3.43</v>
      </c>
      <c r="B456" s="6">
        <v>0.94099999999999995</v>
      </c>
      <c r="C456" s="7">
        <v>18.100000000000001</v>
      </c>
      <c r="D456" s="6">
        <v>0.71299999999999997</v>
      </c>
      <c r="E456" s="1">
        <v>24</v>
      </c>
      <c r="F456" s="8">
        <v>666</v>
      </c>
      <c r="G456" s="1">
        <v>20.2</v>
      </c>
      <c r="H456" s="9">
        <v>6.7279999999999998</v>
      </c>
      <c r="I456" s="1">
        <v>18.71</v>
      </c>
      <c r="J456" s="1">
        <v>14.9</v>
      </c>
    </row>
    <row r="457" spans="1:10">
      <c r="A457" s="5">
        <v>8.41</v>
      </c>
      <c r="B457" s="6">
        <v>0.86499999999999999</v>
      </c>
      <c r="C457" s="7">
        <v>18.100000000000001</v>
      </c>
      <c r="D457" s="6">
        <v>0.71299999999999997</v>
      </c>
      <c r="E457" s="1">
        <v>24</v>
      </c>
      <c r="F457" s="8">
        <v>666</v>
      </c>
      <c r="G457" s="1">
        <v>20.2</v>
      </c>
      <c r="H457" s="9">
        <v>6.5250000000000004</v>
      </c>
      <c r="I457" s="1">
        <v>18.13</v>
      </c>
      <c r="J457" s="1">
        <v>14.1</v>
      </c>
    </row>
    <row r="458" spans="1:10">
      <c r="A458" s="5">
        <v>8.74</v>
      </c>
      <c r="B458" s="6">
        <v>0.87900000000000011</v>
      </c>
      <c r="C458" s="7">
        <v>18.100000000000001</v>
      </c>
      <c r="D458" s="6">
        <v>0.71299999999999997</v>
      </c>
      <c r="E458" s="1">
        <v>24</v>
      </c>
      <c r="F458" s="8">
        <v>666</v>
      </c>
      <c r="G458" s="1">
        <v>20.2</v>
      </c>
      <c r="H458" s="9">
        <v>5.976</v>
      </c>
      <c r="I458" s="1">
        <v>19.010000000000002</v>
      </c>
      <c r="J458" s="1">
        <v>12.7</v>
      </c>
    </row>
    <row r="459" spans="1:10">
      <c r="A459" s="5">
        <v>0.71</v>
      </c>
      <c r="B459" s="6">
        <v>0.80299999999999994</v>
      </c>
      <c r="C459" s="7">
        <v>18.100000000000001</v>
      </c>
      <c r="D459" s="6">
        <v>0.71299999999999997</v>
      </c>
      <c r="E459" s="1">
        <v>24</v>
      </c>
      <c r="F459" s="8">
        <v>666</v>
      </c>
      <c r="G459" s="1">
        <v>20.2</v>
      </c>
      <c r="H459" s="9">
        <v>5.9359999999999999</v>
      </c>
      <c r="I459" s="1">
        <v>16.940000000000001</v>
      </c>
      <c r="J459" s="1">
        <v>13.5</v>
      </c>
    </row>
    <row r="460" spans="1:10">
      <c r="A460" s="5">
        <v>2.99</v>
      </c>
      <c r="B460" s="6">
        <v>0.83700000000000008</v>
      </c>
      <c r="C460" s="7">
        <v>18.100000000000001</v>
      </c>
      <c r="D460" s="6">
        <v>0.71299999999999997</v>
      </c>
      <c r="E460" s="1">
        <v>24</v>
      </c>
      <c r="F460" s="8">
        <v>666</v>
      </c>
      <c r="G460" s="1">
        <v>20.2</v>
      </c>
      <c r="H460" s="9">
        <v>6.3010000000000002</v>
      </c>
      <c r="I460" s="1">
        <v>16.23</v>
      </c>
      <c r="J460" s="1">
        <v>14.9</v>
      </c>
    </row>
    <row r="461" spans="1:10">
      <c r="A461" s="5">
        <v>7.81</v>
      </c>
      <c r="B461" s="6">
        <v>0.84400000000000008</v>
      </c>
      <c r="C461" s="7">
        <v>18.100000000000001</v>
      </c>
      <c r="D461" s="6">
        <v>0.71299999999999997</v>
      </c>
      <c r="E461" s="1">
        <v>24</v>
      </c>
      <c r="F461" s="8">
        <v>666</v>
      </c>
      <c r="G461" s="1">
        <v>20.2</v>
      </c>
      <c r="H461" s="9">
        <v>6.0810000000000004</v>
      </c>
      <c r="I461" s="1">
        <v>14.7</v>
      </c>
      <c r="J461" s="1">
        <v>20</v>
      </c>
    </row>
    <row r="462" spans="1:10">
      <c r="A462" s="5">
        <v>1.36</v>
      </c>
      <c r="B462" s="6">
        <v>0.9</v>
      </c>
      <c r="C462" s="7">
        <v>18.100000000000001</v>
      </c>
      <c r="D462" s="6">
        <v>0.71299999999999997</v>
      </c>
      <c r="E462" s="1">
        <v>24</v>
      </c>
      <c r="F462" s="8">
        <v>666</v>
      </c>
      <c r="G462" s="1">
        <v>20.2</v>
      </c>
      <c r="H462" s="9">
        <v>6.7009999999999996</v>
      </c>
      <c r="I462" s="1">
        <v>16.420000000000002</v>
      </c>
      <c r="J462" s="1">
        <v>16.399999999999999</v>
      </c>
    </row>
    <row r="463" spans="1:10">
      <c r="A463" s="5">
        <v>6.46</v>
      </c>
      <c r="B463" s="6">
        <v>0.88400000000000012</v>
      </c>
      <c r="C463" s="7">
        <v>18.100000000000001</v>
      </c>
      <c r="D463" s="6">
        <v>0.71299999999999997</v>
      </c>
      <c r="E463" s="1">
        <v>24</v>
      </c>
      <c r="F463" s="8">
        <v>666</v>
      </c>
      <c r="G463" s="1">
        <v>20.2</v>
      </c>
      <c r="H463" s="9">
        <v>6.3760000000000003</v>
      </c>
      <c r="I463" s="1">
        <v>14.65</v>
      </c>
      <c r="J463" s="1">
        <v>17.7</v>
      </c>
    </row>
    <row r="464" spans="1:10">
      <c r="A464" s="5">
        <v>3.43</v>
      </c>
      <c r="B464" s="6">
        <v>0.83000000000000007</v>
      </c>
      <c r="C464" s="7">
        <v>18.100000000000001</v>
      </c>
      <c r="D464" s="6">
        <v>0.71299999999999997</v>
      </c>
      <c r="E464" s="1">
        <v>24</v>
      </c>
      <c r="F464" s="8">
        <v>666</v>
      </c>
      <c r="G464" s="1">
        <v>20.2</v>
      </c>
      <c r="H464" s="9">
        <v>6.3170000000000002</v>
      </c>
      <c r="I464" s="1">
        <v>13.99</v>
      </c>
      <c r="J464" s="1">
        <v>19.5</v>
      </c>
    </row>
    <row r="465" spans="1:10">
      <c r="A465" s="5">
        <v>3.5</v>
      </c>
      <c r="B465" s="6">
        <v>0.89900000000000002</v>
      </c>
      <c r="C465" s="7">
        <v>18.100000000000001</v>
      </c>
      <c r="D465" s="6">
        <v>0.71299999999999997</v>
      </c>
      <c r="E465" s="1">
        <v>24</v>
      </c>
      <c r="F465" s="8">
        <v>666</v>
      </c>
      <c r="G465" s="1">
        <v>20.2</v>
      </c>
      <c r="H465" s="9">
        <v>6.5129999999999999</v>
      </c>
      <c r="I465" s="1">
        <v>10.29</v>
      </c>
      <c r="J465" s="1">
        <v>20.2</v>
      </c>
    </row>
    <row r="466" spans="1:10">
      <c r="A466" s="5">
        <v>3.22</v>
      </c>
      <c r="B466" s="6">
        <v>0.65400000000000003</v>
      </c>
      <c r="C466" s="7">
        <v>18.100000000000001</v>
      </c>
      <c r="D466" s="6">
        <v>0.65500000000000003</v>
      </c>
      <c r="E466" s="1">
        <v>24</v>
      </c>
      <c r="F466" s="8">
        <v>666</v>
      </c>
      <c r="G466" s="1">
        <v>20.2</v>
      </c>
      <c r="H466" s="9">
        <v>6.2089999999999996</v>
      </c>
      <c r="I466" s="1">
        <v>13.22</v>
      </c>
      <c r="J466" s="1">
        <v>21.4</v>
      </c>
    </row>
    <row r="467" spans="1:10">
      <c r="A467" s="5">
        <v>6.65</v>
      </c>
      <c r="B467" s="6">
        <v>0.48200000000000004</v>
      </c>
      <c r="C467" s="7">
        <v>18.100000000000001</v>
      </c>
      <c r="D467" s="6">
        <v>0.65500000000000003</v>
      </c>
      <c r="E467" s="1">
        <v>24</v>
      </c>
      <c r="F467" s="8">
        <v>666</v>
      </c>
      <c r="G467" s="1">
        <v>20.2</v>
      </c>
      <c r="H467" s="9">
        <v>5.7590000000000003</v>
      </c>
      <c r="I467" s="1">
        <v>14.13</v>
      </c>
      <c r="J467" s="1">
        <v>19.899999999999999</v>
      </c>
    </row>
    <row r="468" spans="1:10">
      <c r="A468" s="5">
        <v>9.25</v>
      </c>
      <c r="B468" s="6">
        <v>0.84700000000000009</v>
      </c>
      <c r="C468" s="7">
        <v>18.100000000000001</v>
      </c>
      <c r="D468" s="6">
        <v>0.65500000000000003</v>
      </c>
      <c r="E468" s="1">
        <v>24</v>
      </c>
      <c r="F468" s="8">
        <v>666</v>
      </c>
      <c r="G468" s="1">
        <v>20.2</v>
      </c>
      <c r="H468" s="9">
        <v>5.952</v>
      </c>
      <c r="I468" s="1">
        <v>17.149999999999999</v>
      </c>
      <c r="J468" s="1">
        <v>19</v>
      </c>
    </row>
    <row r="469" spans="1:10">
      <c r="A469" s="5">
        <v>8.9600000000000009</v>
      </c>
      <c r="B469" s="6">
        <v>0.94500000000000006</v>
      </c>
      <c r="C469" s="7">
        <v>18.100000000000001</v>
      </c>
      <c r="D469" s="6">
        <v>0.58399999999999996</v>
      </c>
      <c r="E469" s="1">
        <v>24</v>
      </c>
      <c r="F469" s="8">
        <v>666</v>
      </c>
      <c r="G469" s="1">
        <v>20.2</v>
      </c>
      <c r="H469" s="9">
        <v>6.0030000000000001</v>
      </c>
      <c r="I469" s="1">
        <v>21.32</v>
      </c>
      <c r="J469" s="1">
        <v>19.100000000000001</v>
      </c>
    </row>
    <row r="470" spans="1:10">
      <c r="A470" s="5">
        <v>7.56</v>
      </c>
      <c r="B470" s="6">
        <v>0.71</v>
      </c>
      <c r="C470" s="7">
        <v>18.100000000000001</v>
      </c>
      <c r="D470" s="6">
        <v>0.57999999999999996</v>
      </c>
      <c r="E470" s="1">
        <v>24</v>
      </c>
      <c r="F470" s="8">
        <v>666</v>
      </c>
      <c r="G470" s="1">
        <v>20.2</v>
      </c>
      <c r="H470" s="9">
        <v>5.9260000000000002</v>
      </c>
      <c r="I470" s="1">
        <v>18.13</v>
      </c>
      <c r="J470" s="1">
        <v>19.100000000000001</v>
      </c>
    </row>
    <row r="471" spans="1:10">
      <c r="A471" s="5">
        <v>4.9800000000000004</v>
      </c>
      <c r="B471" s="6">
        <v>0.56700000000000006</v>
      </c>
      <c r="C471" s="7">
        <v>18.100000000000001</v>
      </c>
      <c r="D471" s="6">
        <v>0.57999999999999996</v>
      </c>
      <c r="E471" s="1">
        <v>24</v>
      </c>
      <c r="F471" s="8">
        <v>666</v>
      </c>
      <c r="G471" s="1">
        <v>20.2</v>
      </c>
      <c r="H471" s="9">
        <v>5.7130000000000001</v>
      </c>
      <c r="I471" s="1">
        <v>14.76</v>
      </c>
      <c r="J471" s="1">
        <v>20.100000000000001</v>
      </c>
    </row>
    <row r="472" spans="1:10">
      <c r="A472" s="5">
        <v>8.5299999999999994</v>
      </c>
      <c r="B472" s="6">
        <v>0.84</v>
      </c>
      <c r="C472" s="7">
        <v>18.100000000000001</v>
      </c>
      <c r="D472" s="6">
        <v>0.57999999999999996</v>
      </c>
      <c r="E472" s="1">
        <v>24</v>
      </c>
      <c r="F472" s="8">
        <v>666</v>
      </c>
      <c r="G472" s="1">
        <v>20.2</v>
      </c>
      <c r="H472" s="9">
        <v>6.1669999999999998</v>
      </c>
      <c r="I472" s="1">
        <v>16.29</v>
      </c>
      <c r="J472" s="1">
        <v>19.899999999999999</v>
      </c>
    </row>
    <row r="473" spans="1:10">
      <c r="A473" s="5">
        <v>5.61</v>
      </c>
      <c r="B473" s="6">
        <v>0.90700000000000003</v>
      </c>
      <c r="C473" s="7">
        <v>18.100000000000001</v>
      </c>
      <c r="D473" s="6">
        <v>0.53200000000000003</v>
      </c>
      <c r="E473" s="1">
        <v>24</v>
      </c>
      <c r="F473" s="8">
        <v>666</v>
      </c>
      <c r="G473" s="1">
        <v>20.2</v>
      </c>
      <c r="H473" s="9">
        <v>6.2290000000000001</v>
      </c>
      <c r="I473" s="1">
        <v>12.87</v>
      </c>
      <c r="J473" s="1">
        <v>19.600000000000001</v>
      </c>
    </row>
    <row r="474" spans="1:10">
      <c r="A474" s="5">
        <v>1.05</v>
      </c>
      <c r="B474" s="6">
        <v>0.75</v>
      </c>
      <c r="C474" s="7">
        <v>18.100000000000001</v>
      </c>
      <c r="D474" s="6">
        <v>0.57999999999999996</v>
      </c>
      <c r="E474" s="1">
        <v>24</v>
      </c>
      <c r="F474" s="8">
        <v>666</v>
      </c>
      <c r="G474" s="1">
        <v>20.2</v>
      </c>
      <c r="H474" s="9">
        <v>6.4370000000000003</v>
      </c>
      <c r="I474" s="1">
        <v>14.36</v>
      </c>
      <c r="J474" s="1">
        <v>23.2</v>
      </c>
    </row>
    <row r="475" spans="1:10">
      <c r="A475" s="5">
        <v>2</v>
      </c>
      <c r="B475" s="6">
        <v>0.67599999999999993</v>
      </c>
      <c r="C475" s="7">
        <v>18.100000000000001</v>
      </c>
      <c r="D475" s="6">
        <v>0.61399999999999999</v>
      </c>
      <c r="E475" s="1">
        <v>24</v>
      </c>
      <c r="F475" s="8">
        <v>666</v>
      </c>
      <c r="G475" s="1">
        <v>20.2</v>
      </c>
      <c r="H475" s="9">
        <v>6.98</v>
      </c>
      <c r="I475" s="1">
        <v>11.66</v>
      </c>
      <c r="J475" s="1">
        <v>29.8</v>
      </c>
    </row>
    <row r="476" spans="1:10">
      <c r="A476" s="5">
        <v>6.14</v>
      </c>
      <c r="B476" s="6">
        <v>0.95400000000000007</v>
      </c>
      <c r="C476" s="7">
        <v>18.100000000000001</v>
      </c>
      <c r="D476" s="6">
        <v>0.58399999999999996</v>
      </c>
      <c r="E476" s="1">
        <v>24</v>
      </c>
      <c r="F476" s="8">
        <v>666</v>
      </c>
      <c r="G476" s="1">
        <v>20.2</v>
      </c>
      <c r="H476" s="9">
        <v>5.4269999999999996</v>
      </c>
      <c r="I476" s="1">
        <v>18.14</v>
      </c>
      <c r="J476" s="1">
        <v>13.8</v>
      </c>
    </row>
    <row r="477" spans="1:10">
      <c r="A477" s="5">
        <v>1.05</v>
      </c>
      <c r="B477" s="6">
        <v>0.97400000000000009</v>
      </c>
      <c r="C477" s="7">
        <v>18.100000000000001</v>
      </c>
      <c r="D477" s="6">
        <v>0.58399999999999996</v>
      </c>
      <c r="E477" s="1">
        <v>24</v>
      </c>
      <c r="F477" s="8">
        <v>666</v>
      </c>
      <c r="G477" s="1">
        <v>20.2</v>
      </c>
      <c r="H477" s="9">
        <v>6.1619999999999999</v>
      </c>
      <c r="I477" s="1">
        <v>24.1</v>
      </c>
      <c r="J477" s="1">
        <v>13.3</v>
      </c>
    </row>
    <row r="478" spans="1:10">
      <c r="A478" s="5">
        <v>2.87</v>
      </c>
      <c r="B478" s="6">
        <v>0.93599999999999994</v>
      </c>
      <c r="C478" s="7">
        <v>18.100000000000001</v>
      </c>
      <c r="D478" s="6">
        <v>0.61399999999999999</v>
      </c>
      <c r="E478" s="1">
        <v>24</v>
      </c>
      <c r="F478" s="8">
        <v>666</v>
      </c>
      <c r="G478" s="1">
        <v>20.2</v>
      </c>
      <c r="H478" s="9">
        <v>6.484</v>
      </c>
      <c r="I478" s="1">
        <v>18.68</v>
      </c>
      <c r="J478" s="1">
        <v>16.7</v>
      </c>
    </row>
    <row r="479" spans="1:10">
      <c r="A479" s="5">
        <v>1.42</v>
      </c>
      <c r="B479" s="6">
        <v>0.97299999999999998</v>
      </c>
      <c r="C479" s="7">
        <v>18.100000000000001</v>
      </c>
      <c r="D479" s="6">
        <v>0.61399999999999999</v>
      </c>
      <c r="E479" s="1">
        <v>24</v>
      </c>
      <c r="F479" s="8">
        <v>666</v>
      </c>
      <c r="G479" s="1">
        <v>20.2</v>
      </c>
      <c r="H479" s="9">
        <v>5.3040000000000003</v>
      </c>
      <c r="I479" s="1">
        <v>24.91</v>
      </c>
      <c r="J479" s="1">
        <v>12</v>
      </c>
    </row>
    <row r="480" spans="1:10">
      <c r="A480" s="5">
        <v>3.43</v>
      </c>
      <c r="B480" s="6">
        <v>0.96700000000000008</v>
      </c>
      <c r="C480" s="7">
        <v>18.100000000000001</v>
      </c>
      <c r="D480" s="6">
        <v>0.61399999999999999</v>
      </c>
      <c r="E480" s="1">
        <v>24</v>
      </c>
      <c r="F480" s="8">
        <v>666</v>
      </c>
      <c r="G480" s="1">
        <v>20.2</v>
      </c>
      <c r="H480" s="9">
        <v>6.1849999999999996</v>
      </c>
      <c r="I480" s="1">
        <v>18.03</v>
      </c>
      <c r="J480" s="1">
        <v>14.6</v>
      </c>
    </row>
    <row r="481" spans="1:10">
      <c r="A481" s="5">
        <v>6.57</v>
      </c>
      <c r="B481" s="6">
        <v>0.88</v>
      </c>
      <c r="C481" s="7">
        <v>18.100000000000001</v>
      </c>
      <c r="D481" s="6">
        <v>0.61399999999999999</v>
      </c>
      <c r="E481" s="1">
        <v>24</v>
      </c>
      <c r="F481" s="8">
        <v>666</v>
      </c>
      <c r="G481" s="1">
        <v>20.2</v>
      </c>
      <c r="H481" s="9">
        <v>6.2290000000000001</v>
      </c>
      <c r="I481" s="1">
        <v>13.11</v>
      </c>
      <c r="J481" s="1">
        <v>21.4</v>
      </c>
    </row>
    <row r="482" spans="1:10">
      <c r="A482" s="5">
        <v>1.18</v>
      </c>
      <c r="B482" s="6">
        <v>0.64700000000000002</v>
      </c>
      <c r="C482" s="7">
        <v>18.100000000000001</v>
      </c>
      <c r="D482" s="6">
        <v>0.53200000000000003</v>
      </c>
      <c r="E482" s="1">
        <v>24</v>
      </c>
      <c r="F482" s="8">
        <v>666</v>
      </c>
      <c r="G482" s="1">
        <v>20.2</v>
      </c>
      <c r="H482" s="9">
        <v>6.242</v>
      </c>
      <c r="I482" s="1">
        <v>10.74</v>
      </c>
      <c r="J482" s="1">
        <v>23</v>
      </c>
    </row>
    <row r="483" spans="1:10">
      <c r="A483" s="5">
        <v>4.82</v>
      </c>
      <c r="B483" s="6">
        <v>0.74900000000000011</v>
      </c>
      <c r="C483" s="7">
        <v>18.100000000000001</v>
      </c>
      <c r="D483" s="6">
        <v>0.53200000000000003</v>
      </c>
      <c r="E483" s="1">
        <v>24</v>
      </c>
      <c r="F483" s="8">
        <v>666</v>
      </c>
      <c r="G483" s="1">
        <v>20.2</v>
      </c>
      <c r="H483" s="9">
        <v>6.75</v>
      </c>
      <c r="I483" s="1">
        <v>7.74</v>
      </c>
      <c r="J483" s="1">
        <v>23.7</v>
      </c>
    </row>
    <row r="484" spans="1:10">
      <c r="A484" s="5">
        <v>2.66</v>
      </c>
      <c r="B484" s="6">
        <v>0.77</v>
      </c>
      <c r="C484" s="7">
        <v>18.100000000000001</v>
      </c>
      <c r="D484" s="6">
        <v>0.53200000000000003</v>
      </c>
      <c r="E484" s="1">
        <v>24</v>
      </c>
      <c r="F484" s="8">
        <v>666</v>
      </c>
      <c r="G484" s="1">
        <v>20.2</v>
      </c>
      <c r="H484" s="9">
        <v>7.0609999999999999</v>
      </c>
      <c r="I484" s="1">
        <v>7.01</v>
      </c>
      <c r="J484" s="1">
        <v>25</v>
      </c>
    </row>
    <row r="485" spans="1:10">
      <c r="A485" s="5">
        <v>3.65</v>
      </c>
      <c r="B485" s="6">
        <v>0.40299999999999997</v>
      </c>
      <c r="C485" s="7">
        <v>18.100000000000001</v>
      </c>
      <c r="D485" s="6">
        <v>0.53200000000000003</v>
      </c>
      <c r="E485" s="1">
        <v>24</v>
      </c>
      <c r="F485" s="8">
        <v>666</v>
      </c>
      <c r="G485" s="1">
        <v>20.2</v>
      </c>
      <c r="H485" s="9">
        <v>5.7619999999999996</v>
      </c>
      <c r="I485" s="1">
        <v>10.42</v>
      </c>
      <c r="J485" s="1">
        <v>21.8</v>
      </c>
    </row>
    <row r="486" spans="1:10">
      <c r="A486" s="5">
        <v>9.11</v>
      </c>
      <c r="B486" s="6">
        <v>0.41899999999999998</v>
      </c>
      <c r="C486" s="7">
        <v>18.100000000000001</v>
      </c>
      <c r="D486" s="6">
        <v>0.58299999999999996</v>
      </c>
      <c r="E486" s="1">
        <v>24</v>
      </c>
      <c r="F486" s="8">
        <v>666</v>
      </c>
      <c r="G486" s="1">
        <v>20.2</v>
      </c>
      <c r="H486" s="9">
        <v>5.8710000000000004</v>
      </c>
      <c r="I486" s="1">
        <v>13.34</v>
      </c>
      <c r="J486" s="1">
        <v>20.6</v>
      </c>
    </row>
    <row r="487" spans="1:10">
      <c r="A487" s="5">
        <v>7.26</v>
      </c>
      <c r="B487" s="6">
        <v>0.51900000000000002</v>
      </c>
      <c r="C487" s="7">
        <v>18.100000000000001</v>
      </c>
      <c r="D487" s="6">
        <v>0.58299999999999996</v>
      </c>
      <c r="E487" s="1">
        <v>24</v>
      </c>
      <c r="F487" s="8">
        <v>666</v>
      </c>
      <c r="G487" s="1">
        <v>20.2</v>
      </c>
      <c r="H487" s="9">
        <v>6.3120000000000003</v>
      </c>
      <c r="I487" s="1">
        <v>10.58</v>
      </c>
      <c r="J487" s="1">
        <v>21.2</v>
      </c>
    </row>
    <row r="488" spans="1:10">
      <c r="A488" s="5">
        <v>5.14</v>
      </c>
      <c r="B488" s="6">
        <v>0.79800000000000004</v>
      </c>
      <c r="C488" s="7">
        <v>18.100000000000001</v>
      </c>
      <c r="D488" s="6">
        <v>0.58299999999999996</v>
      </c>
      <c r="E488" s="1">
        <v>24</v>
      </c>
      <c r="F488" s="8">
        <v>666</v>
      </c>
      <c r="G488" s="1">
        <v>20.2</v>
      </c>
      <c r="H488" s="9">
        <v>6.1139999999999999</v>
      </c>
      <c r="I488" s="1">
        <v>14.98</v>
      </c>
      <c r="J488" s="1">
        <v>19.100000000000001</v>
      </c>
    </row>
    <row r="489" spans="1:10">
      <c r="A489" s="5">
        <v>4.1399999999999997</v>
      </c>
      <c r="B489" s="6">
        <v>0.53200000000000003</v>
      </c>
      <c r="C489" s="7">
        <v>18.100000000000001</v>
      </c>
      <c r="D489" s="6">
        <v>0.58299999999999996</v>
      </c>
      <c r="E489" s="1">
        <v>24</v>
      </c>
      <c r="F489" s="8">
        <v>666</v>
      </c>
      <c r="G489" s="1">
        <v>20.2</v>
      </c>
      <c r="H489" s="9">
        <v>5.9050000000000002</v>
      </c>
      <c r="I489" s="1">
        <v>11.45</v>
      </c>
      <c r="J489" s="1">
        <v>20.6</v>
      </c>
    </row>
    <row r="490" spans="1:10">
      <c r="A490" s="5">
        <v>0.2</v>
      </c>
      <c r="B490" s="6">
        <v>0.92700000000000005</v>
      </c>
      <c r="C490" s="7">
        <v>27.74</v>
      </c>
      <c r="D490" s="6">
        <v>0.60899999999999999</v>
      </c>
      <c r="E490" s="1">
        <v>4</v>
      </c>
      <c r="F490" s="8">
        <v>711</v>
      </c>
      <c r="G490" s="1">
        <v>20.100000000000001</v>
      </c>
      <c r="H490" s="9">
        <v>5.4539999999999997</v>
      </c>
      <c r="I490" s="1">
        <v>18.059999999999999</v>
      </c>
      <c r="J490" s="1">
        <v>15.2</v>
      </c>
    </row>
    <row r="491" spans="1:10">
      <c r="A491" s="5">
        <v>9.02</v>
      </c>
      <c r="B491" s="6">
        <v>0.98299999999999998</v>
      </c>
      <c r="C491" s="7">
        <v>27.74</v>
      </c>
      <c r="D491" s="6">
        <v>0.60899999999999999</v>
      </c>
      <c r="E491" s="1">
        <v>4</v>
      </c>
      <c r="F491" s="8">
        <v>711</v>
      </c>
      <c r="G491" s="1">
        <v>20.100000000000001</v>
      </c>
      <c r="H491" s="9">
        <v>5.4139999999999997</v>
      </c>
      <c r="I491" s="1">
        <v>23.97</v>
      </c>
      <c r="J491" s="1">
        <v>7</v>
      </c>
    </row>
    <row r="492" spans="1:10">
      <c r="A492" s="5">
        <v>5.98</v>
      </c>
      <c r="B492" s="6">
        <v>0.98</v>
      </c>
      <c r="C492" s="7">
        <v>27.74</v>
      </c>
      <c r="D492" s="6">
        <v>0.60899999999999999</v>
      </c>
      <c r="E492" s="1">
        <v>4</v>
      </c>
      <c r="F492" s="8">
        <v>711</v>
      </c>
      <c r="G492" s="1">
        <v>20.100000000000001</v>
      </c>
      <c r="H492" s="9">
        <v>5.093</v>
      </c>
      <c r="I492" s="1">
        <v>29.68</v>
      </c>
      <c r="J492" s="1">
        <v>8.1</v>
      </c>
    </row>
    <row r="493" spans="1:10">
      <c r="A493" s="5">
        <v>1.43</v>
      </c>
      <c r="B493" s="6">
        <v>0.98799999999999999</v>
      </c>
      <c r="C493" s="7">
        <v>27.74</v>
      </c>
      <c r="D493" s="6">
        <v>0.60899999999999999</v>
      </c>
      <c r="E493" s="1">
        <v>4</v>
      </c>
      <c r="F493" s="8">
        <v>711</v>
      </c>
      <c r="G493" s="1">
        <v>20.100000000000001</v>
      </c>
      <c r="H493" s="9">
        <v>5.9829999999999997</v>
      </c>
      <c r="I493" s="1">
        <v>18.07</v>
      </c>
      <c r="J493" s="1">
        <v>13.6</v>
      </c>
    </row>
    <row r="494" spans="1:10">
      <c r="A494" s="5">
        <v>4.49</v>
      </c>
      <c r="B494" s="6">
        <v>0.83499999999999996</v>
      </c>
      <c r="C494" s="7">
        <v>27.74</v>
      </c>
      <c r="D494" s="6">
        <v>0.60899999999999999</v>
      </c>
      <c r="E494" s="1">
        <v>4</v>
      </c>
      <c r="F494" s="8">
        <v>711</v>
      </c>
      <c r="G494" s="1">
        <v>20.100000000000001</v>
      </c>
      <c r="H494" s="9">
        <v>5.9829999999999997</v>
      </c>
      <c r="I494" s="1">
        <v>13.35</v>
      </c>
      <c r="J494" s="1">
        <v>20.100000000000001</v>
      </c>
    </row>
    <row r="495" spans="1:10">
      <c r="A495" s="5">
        <v>8.6199999999999992</v>
      </c>
      <c r="B495" s="6">
        <v>0.54</v>
      </c>
      <c r="C495" s="7">
        <v>9.69</v>
      </c>
      <c r="D495" s="6">
        <v>0.58499999999999996</v>
      </c>
      <c r="E495" s="1">
        <v>6</v>
      </c>
      <c r="F495" s="8">
        <v>391</v>
      </c>
      <c r="G495" s="1">
        <v>19.2</v>
      </c>
      <c r="H495" s="9">
        <v>5.7069999999999999</v>
      </c>
      <c r="I495" s="1">
        <v>12.01</v>
      </c>
      <c r="J495" s="1">
        <v>21.8</v>
      </c>
    </row>
    <row r="496" spans="1:10">
      <c r="A496" s="5">
        <v>3.43</v>
      </c>
      <c r="B496" s="6">
        <v>0.42600000000000005</v>
      </c>
      <c r="C496" s="7">
        <v>9.69</v>
      </c>
      <c r="D496" s="6">
        <v>0.58499999999999996</v>
      </c>
      <c r="E496" s="1">
        <v>6</v>
      </c>
      <c r="F496" s="8">
        <v>391</v>
      </c>
      <c r="G496" s="1">
        <v>19.2</v>
      </c>
      <c r="H496" s="9">
        <v>5.9260000000000002</v>
      </c>
      <c r="I496" s="1">
        <v>13.59</v>
      </c>
      <c r="J496" s="1">
        <v>24.5</v>
      </c>
    </row>
    <row r="497" spans="1:10">
      <c r="A497" s="5">
        <v>7.02</v>
      </c>
      <c r="B497" s="6">
        <v>0.28800000000000003</v>
      </c>
      <c r="C497" s="7">
        <v>9.69</v>
      </c>
      <c r="D497" s="6">
        <v>0.58499999999999996</v>
      </c>
      <c r="E497" s="1">
        <v>6</v>
      </c>
      <c r="F497" s="8">
        <v>391</v>
      </c>
      <c r="G497" s="1">
        <v>19.2</v>
      </c>
      <c r="H497" s="9">
        <v>5.67</v>
      </c>
      <c r="I497" s="1">
        <v>17.600000000000001</v>
      </c>
      <c r="J497" s="1">
        <v>23.1</v>
      </c>
    </row>
    <row r="498" spans="1:10">
      <c r="A498" s="5">
        <v>6.43</v>
      </c>
      <c r="B498" s="6">
        <v>0.72900000000000009</v>
      </c>
      <c r="C498" s="7">
        <v>9.69</v>
      </c>
      <c r="D498" s="6">
        <v>0.58499999999999996</v>
      </c>
      <c r="E498" s="1">
        <v>6</v>
      </c>
      <c r="F498" s="8">
        <v>391</v>
      </c>
      <c r="G498" s="1">
        <v>19.2</v>
      </c>
      <c r="H498" s="9">
        <v>5.39</v>
      </c>
      <c r="I498" s="1">
        <v>21.14</v>
      </c>
      <c r="J498" s="1">
        <v>19.7</v>
      </c>
    </row>
    <row r="499" spans="1:10">
      <c r="A499" s="5">
        <v>9.0399999999999991</v>
      </c>
      <c r="B499" s="6">
        <v>0.70599999999999996</v>
      </c>
      <c r="C499" s="7">
        <v>9.69</v>
      </c>
      <c r="D499" s="6">
        <v>0.58499999999999996</v>
      </c>
      <c r="E499" s="1">
        <v>6</v>
      </c>
      <c r="F499" s="8">
        <v>391</v>
      </c>
      <c r="G499" s="1">
        <v>19.2</v>
      </c>
      <c r="H499" s="9">
        <v>5.7939999999999996</v>
      </c>
      <c r="I499" s="1">
        <v>14.1</v>
      </c>
      <c r="J499" s="1">
        <v>18.3</v>
      </c>
    </row>
    <row r="500" spans="1:10">
      <c r="A500" s="5">
        <v>3.49</v>
      </c>
      <c r="B500" s="6">
        <v>0.65300000000000002</v>
      </c>
      <c r="C500" s="7">
        <v>9.69</v>
      </c>
      <c r="D500" s="6">
        <v>0.58499999999999996</v>
      </c>
      <c r="E500" s="1">
        <v>6</v>
      </c>
      <c r="F500" s="8">
        <v>391</v>
      </c>
      <c r="G500" s="1">
        <v>19.2</v>
      </c>
      <c r="H500" s="9">
        <v>6.0190000000000001</v>
      </c>
      <c r="I500" s="1">
        <v>12.92</v>
      </c>
      <c r="J500" s="1">
        <v>21.2</v>
      </c>
    </row>
    <row r="501" spans="1:10">
      <c r="A501" s="5">
        <v>2.37</v>
      </c>
      <c r="B501" s="6">
        <v>0.73499999999999999</v>
      </c>
      <c r="C501" s="7">
        <v>9.69</v>
      </c>
      <c r="D501" s="6">
        <v>0.58499999999999996</v>
      </c>
      <c r="E501" s="1">
        <v>6</v>
      </c>
      <c r="F501" s="8">
        <v>391</v>
      </c>
      <c r="G501" s="1">
        <v>19.2</v>
      </c>
      <c r="H501" s="9">
        <v>5.569</v>
      </c>
      <c r="I501" s="1">
        <v>15.1</v>
      </c>
      <c r="J501" s="1">
        <v>17.5</v>
      </c>
    </row>
    <row r="502" spans="1:10">
      <c r="A502" s="5">
        <v>3</v>
      </c>
      <c r="B502" s="6">
        <v>0.79700000000000004</v>
      </c>
      <c r="C502" s="7">
        <v>9.69</v>
      </c>
      <c r="D502" s="6">
        <v>0.58499999999999996</v>
      </c>
      <c r="E502" s="1">
        <v>6</v>
      </c>
      <c r="F502" s="8">
        <v>391</v>
      </c>
      <c r="G502" s="1">
        <v>19.2</v>
      </c>
      <c r="H502" s="9">
        <v>6.0270000000000001</v>
      </c>
      <c r="I502" s="1">
        <v>14.33</v>
      </c>
      <c r="J502" s="1">
        <v>16.8</v>
      </c>
    </row>
    <row r="503" spans="1:10">
      <c r="A503" s="5">
        <v>4.4800000000000004</v>
      </c>
      <c r="B503" s="6">
        <v>0.69099999999999995</v>
      </c>
      <c r="C503" s="7">
        <v>11.93</v>
      </c>
      <c r="D503" s="6">
        <v>0.57299999999999995</v>
      </c>
      <c r="E503" s="1">
        <v>1</v>
      </c>
      <c r="F503" s="8">
        <v>273</v>
      </c>
      <c r="G503" s="1">
        <v>21</v>
      </c>
      <c r="H503" s="9">
        <v>6.593</v>
      </c>
      <c r="I503" s="1">
        <v>9.67</v>
      </c>
      <c r="J503" s="1">
        <v>22.4</v>
      </c>
    </row>
    <row r="504" spans="1:10">
      <c r="A504" s="5">
        <v>0.46</v>
      </c>
      <c r="B504" s="6">
        <v>0.76700000000000002</v>
      </c>
      <c r="C504" s="7">
        <v>11.93</v>
      </c>
      <c r="D504" s="6">
        <v>0.57299999999999995</v>
      </c>
      <c r="E504" s="1">
        <v>1</v>
      </c>
      <c r="F504" s="8">
        <v>273</v>
      </c>
      <c r="G504" s="1">
        <v>21</v>
      </c>
      <c r="H504" s="9">
        <v>6.12</v>
      </c>
      <c r="I504" s="1">
        <v>9.08</v>
      </c>
      <c r="J504" s="1">
        <v>20.6</v>
      </c>
    </row>
    <row r="505" spans="1:10">
      <c r="A505" s="5">
        <v>9.42</v>
      </c>
      <c r="B505" s="6">
        <v>0.91</v>
      </c>
      <c r="C505" s="7">
        <v>11.93</v>
      </c>
      <c r="D505" s="6">
        <v>0.57299999999999995</v>
      </c>
      <c r="E505" s="1">
        <v>1</v>
      </c>
      <c r="F505" s="8">
        <v>273</v>
      </c>
      <c r="G505" s="1">
        <v>21</v>
      </c>
      <c r="H505" s="9">
        <v>6.976</v>
      </c>
      <c r="I505" s="1">
        <v>5.64</v>
      </c>
      <c r="J505" s="1">
        <v>23.9</v>
      </c>
    </row>
    <row r="506" spans="1:10">
      <c r="A506" s="5">
        <v>6.94</v>
      </c>
      <c r="B506" s="6">
        <v>0.89300000000000002</v>
      </c>
      <c r="C506" s="7">
        <v>11.93</v>
      </c>
      <c r="D506" s="6">
        <v>0.57299999999999995</v>
      </c>
      <c r="E506" s="1">
        <v>1</v>
      </c>
      <c r="F506" s="8">
        <v>273</v>
      </c>
      <c r="G506" s="1">
        <v>21</v>
      </c>
      <c r="H506" s="9">
        <v>6.7939999999999996</v>
      </c>
      <c r="I506" s="1">
        <v>6.48</v>
      </c>
      <c r="J506" s="1">
        <v>22</v>
      </c>
    </row>
    <row r="507" spans="1:10">
      <c r="A507" s="5">
        <v>9.5399999999999991</v>
      </c>
      <c r="B507" s="6">
        <v>0.80799999999999994</v>
      </c>
      <c r="C507" s="7">
        <v>11.93</v>
      </c>
      <c r="D507" s="6">
        <v>0.57299999999999995</v>
      </c>
      <c r="E507" s="1">
        <v>1</v>
      </c>
      <c r="F507" s="8">
        <v>273</v>
      </c>
      <c r="G507" s="1">
        <v>21</v>
      </c>
      <c r="H507" s="9">
        <v>6.03</v>
      </c>
      <c r="I507" s="1">
        <v>7.88</v>
      </c>
      <c r="J507" s="1">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what is covariance</vt:lpstr>
      <vt:lpstr>data</vt:lpstr>
      <vt:lpstr>regression data</vt:lpstr>
      <vt:lpstr>descriptive stats</vt:lpstr>
      <vt:lpstr>price range</vt:lpstr>
      <vt:lpstr>covariance</vt:lpstr>
      <vt:lpstr>correlation</vt:lpstr>
      <vt:lpstr>regressions Q.5</vt:lpstr>
      <vt:lpstr>Regression Q.6</vt:lpstr>
      <vt:lpstr>Regression Q.7</vt:lpstr>
      <vt:lpstr>Regression Q.8</vt:lpstr>
      <vt:lpstr>data 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Square M</cp:lastModifiedBy>
  <dcterms:created xsi:type="dcterms:W3CDTF">2020-06-02T13:46:53Z</dcterms:created>
  <dcterms:modified xsi:type="dcterms:W3CDTF">2025-06-06T02:30:25Z</dcterms:modified>
</cp:coreProperties>
</file>